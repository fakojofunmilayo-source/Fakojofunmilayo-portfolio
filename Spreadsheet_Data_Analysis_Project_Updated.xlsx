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 Data" sheetId="1" state="visible" r:id="rId1"/>
    <sheet xmlns:r="http://schemas.openxmlformats.org/officeDocument/2006/relationships" name="Project Guide" sheetId="2" state="visible" r:id="rId2"/>
    <sheet xmlns:r="http://schemas.openxmlformats.org/officeDocument/2006/relationships" name="Dashboard" sheetId="3" state="visible" r:id="rId3"/>
  </sheets>
  <definedNames>
    <definedName name="_xlnm.Print_Area" localSheetId="2">'Dashboard'!$A$1:$I$33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₦#,##0.00"/>
    <numFmt numFmtId="166" formatCode="#,##0.00;(#,##0.00)"/>
  </numFmts>
  <fonts count="8">
    <font>
      <name val="Calibri"/>
      <color theme="1"/>
      <sz val="11"/>
      <scheme val="minor"/>
    </font>
    <font>
      <name val="Calibri"/>
      <b val="1"/>
      <color rgb="FFFFFFFF"/>
    </font>
    <font>
      <name val="Calibri"/>
      <color theme="1"/>
    </font>
    <font>
      <name val="Calibri"/>
      <b val="1"/>
      <color theme="1"/>
    </font>
    <font>
      <name val="Calibri"/>
      <color theme="1"/>
      <sz val="11"/>
    </font>
    <font>
      <name val="Calibri"/>
      <b val="1"/>
      <color rgb="FFFFFFFF"/>
      <sz val="24"/>
    </font>
    <font>
      <name val="Calibri"/>
      <b val="1"/>
      <color theme="1"/>
      <sz val="18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5E7EB"/>
        <bgColor rgb="FFE5E7EB"/>
      </patternFill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0" fontId="3" fillId="0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10" fontId="2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top"/>
    </xf>
    <xf numFmtId="0" fontId="3" fillId="4" borderId="0" pivotButton="0" quotePrefix="0" xfId="0"/>
    <xf numFmtId="0" fontId="2" fillId="4" borderId="0" pivotButton="0" quotePrefix="0" xfId="0"/>
    <xf numFmtId="165" fontId="3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0" fontId="3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 i="0">
                <a:solidFill>
                  <a:srgbClr val="757575"/>
                </a:solidFill>
                <a:latin typeface="+mn-lt"/>
              </a:defRPr>
            </a:pPr>
            <a:r>
              <a:rPr sz="1600" b="0" i="0">
                <a:solidFill>
                  <a:srgbClr val="757575"/>
                </a:solidFill>
                <a:latin typeface="+mn-lt"/>
              </a:rPr>
              <a:t>Revenue  by Region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Dashboard!$G$3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Dashboard!$F$4:$F$8</f>
            </strRef>
          </cat>
          <val>
            <numRef>
              <f>Dashboard!$G$4:$G$8</f>
              <numCache/>
            </numRef>
          </val>
        </ser>
        <gapWidth val="150"/>
        <axId val="2046550748"/>
        <axId val="286717261"/>
      </barChart>
      <catAx>
        <axId val="204655074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86717261"/>
        <lblOffset val="100"/>
      </catAx>
      <valAx>
        <axId val="28671726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 xml:space="preserve">Revenue 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4655074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 i="0">
                <a:solidFill>
                  <a:srgbClr val="757575"/>
                </a:solidFill>
                <a:latin typeface="+mn-lt"/>
              </a:defRPr>
            </a:pPr>
            <a:r>
              <a:rPr sz="1600" b="0" i="0">
                <a:solidFill>
                  <a:srgbClr val="757575"/>
                </a:solidFill>
                <a:latin typeface="+mn-lt"/>
              </a:rPr>
              <a:t xml:space="preserve">Total Profit by Salesperson 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Dashboard!$I$3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Dashboard!$H$4:$H$8</f>
            </strRef>
          </cat>
          <val>
            <numRef>
              <f>Dashboard!$I$4:$I$8</f>
              <numCache/>
            </numRef>
          </val>
        </ser>
        <gapWidth val="150"/>
        <axId val="593539888"/>
        <axId val="305273457"/>
      </barChart>
      <catAx>
        <axId val="59353988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 xml:space="preserve">Salesperson 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05273457"/>
        <lblOffset val="100"/>
      </catAx>
      <valAx>
        <axId val="30527345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9353988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 i="0">
                <a:solidFill>
                  <a:srgbClr val="757575"/>
                </a:solidFill>
                <a:latin typeface="+mn-lt"/>
              </a:defRPr>
            </a:pPr>
            <a:r>
              <a:rPr sz="1600" b="0" i="0">
                <a:solidFill>
                  <a:srgbClr val="757575"/>
                </a:solidFill>
                <a:latin typeface="+mn-lt"/>
              </a:rPr>
              <a:t>Quantity Sold by Product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Dashboard!$E$3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Dashboard!$D$4:$D$9</f>
            </strRef>
          </cat>
          <val>
            <numRef>
              <f>Dashboard!$E$4:$E$9</f>
              <numCache/>
            </numRef>
          </val>
        </ser>
        <gapWidth val="150"/>
        <axId val="288754916"/>
        <axId val="1489537060"/>
      </barChart>
      <catAx>
        <axId val="28875491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89537060"/>
        <lblOffset val="100"/>
      </catAx>
      <valAx>
        <axId val="148953706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Quantity Sold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8875491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37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378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21</row>
      <rowOff>0</rowOff>
    </from>
    <ext cx="558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9" min="1" max="1"/>
    <col width="21" customWidth="1" style="19" min="2" max="2"/>
    <col width="14" customWidth="1" style="19" min="3" max="3"/>
    <col width="13" customWidth="1" style="19" min="4" max="4"/>
    <col width="15" customWidth="1" style="19" min="5" max="5"/>
    <col width="13" customWidth="1" style="19" min="6" max="6"/>
    <col width="12" customWidth="1" style="19" min="7" max="7"/>
    <col width="16" customWidth="1" style="19" min="8" max="8"/>
    <col width="12" customWidth="1" style="19" min="9" max="9"/>
    <col width="13" customWidth="1" style="19" min="10" max="10"/>
    <col width="12" customWidth="1" style="19" min="11" max="12"/>
    <col width="14.29" customWidth="1" style="19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Quantity</t>
        </is>
      </c>
      <c r="H1" s="1" t="inlineStr">
        <is>
          <t>Unit Price (₦)</t>
        </is>
      </c>
      <c r="I1" s="1" t="inlineStr">
        <is>
          <t>Discount</t>
        </is>
      </c>
      <c r="J1" s="1" t="inlineStr">
        <is>
          <t>Revenue (₦)</t>
        </is>
      </c>
      <c r="K1" s="1" t="inlineStr">
        <is>
          <t>Cost (₦)</t>
        </is>
      </c>
      <c r="L1" s="1" t="inlineStr">
        <is>
          <t>Profit (₦)</t>
        </is>
      </c>
      <c r="M1" s="3" t="inlineStr">
        <is>
          <t>Profit Margin</t>
        </is>
      </c>
    </row>
    <row r="2">
      <c r="A2" s="2" t="n">
        <v>1</v>
      </c>
      <c r="B2" s="4" t="n">
        <v>46125</v>
      </c>
      <c r="C2" s="2" t="inlineStr">
        <is>
          <t>Keyboard</t>
        </is>
      </c>
      <c r="D2" s="2" t="inlineStr">
        <is>
          <t>Electronics</t>
        </is>
      </c>
      <c r="E2" s="2" t="inlineStr">
        <is>
          <t>Abuja</t>
        </is>
      </c>
      <c r="F2" s="2" t="inlineStr">
        <is>
          <t>Grace</t>
        </is>
      </c>
      <c r="G2" s="2" t="n">
        <v>8</v>
      </c>
      <c r="H2" s="5" t="n">
        <v>28500</v>
      </c>
      <c r="I2" s="6" t="n">
        <v>0</v>
      </c>
      <c r="J2" s="5" t="n">
        <v>228000</v>
      </c>
      <c r="K2" s="5" t="n">
        <v>164160</v>
      </c>
      <c r="L2" s="5" t="n">
        <v>63840</v>
      </c>
      <c r="M2" s="7">
        <f>L2/J2</f>
        <v/>
      </c>
    </row>
    <row r="3">
      <c r="A3" s="2" t="n">
        <v>2</v>
      </c>
      <c r="B3" s="4" t="n">
        <v>46172</v>
      </c>
      <c r="C3" s="2" t="inlineStr">
        <is>
          <t>Headset</t>
        </is>
      </c>
      <c r="D3" s="2" t="inlineStr">
        <is>
          <t>Electronics</t>
        </is>
      </c>
      <c r="E3" s="2" t="inlineStr">
        <is>
          <t>Kano</t>
        </is>
      </c>
      <c r="F3" s="2" t="inlineStr">
        <is>
          <t>David</t>
        </is>
      </c>
      <c r="G3" s="2" t="n">
        <v>8</v>
      </c>
      <c r="H3" s="5" t="n">
        <v>42750</v>
      </c>
      <c r="I3" s="6" t="n">
        <v>0.1</v>
      </c>
      <c r="J3" s="5" t="n">
        <v>307800</v>
      </c>
      <c r="K3" s="5" t="n">
        <v>246240</v>
      </c>
      <c r="L3" s="5" t="n">
        <v>61560</v>
      </c>
      <c r="M3" s="7">
        <f>L3/J3</f>
        <v/>
      </c>
    </row>
    <row r="4">
      <c r="A4" s="2" t="n">
        <v>3</v>
      </c>
      <c r="B4" s="4" t="n">
        <v>46183</v>
      </c>
      <c r="C4" s="2" t="inlineStr">
        <is>
          <t>Keyboard</t>
        </is>
      </c>
      <c r="D4" s="2" t="inlineStr">
        <is>
          <t>Electronics</t>
        </is>
      </c>
      <c r="E4" s="2" t="inlineStr">
        <is>
          <t>Port Harcourt</t>
        </is>
      </c>
      <c r="F4" s="2" t="inlineStr">
        <is>
          <t>David</t>
        </is>
      </c>
      <c r="G4" s="2" t="n">
        <v>6</v>
      </c>
      <c r="H4" s="5" t="n">
        <v>30000</v>
      </c>
      <c r="I4" s="6" t="n">
        <v>0</v>
      </c>
      <c r="J4" s="5" t="n">
        <v>180000</v>
      </c>
      <c r="K4" s="5" t="n">
        <v>129600</v>
      </c>
      <c r="L4" s="5" t="n">
        <v>50400</v>
      </c>
      <c r="M4" s="7">
        <f>L4/J4</f>
        <v/>
      </c>
    </row>
    <row r="5">
      <c r="A5" s="2" t="n">
        <v>4</v>
      </c>
      <c r="B5" s="4" t="n">
        <v>46081</v>
      </c>
      <c r="C5" s="2" t="inlineStr">
        <is>
          <t>Printer</t>
        </is>
      </c>
      <c r="D5" s="2" t="inlineStr">
        <is>
          <t>Electronics</t>
        </is>
      </c>
      <c r="E5" s="2" t="inlineStr">
        <is>
          <t>Abuja</t>
        </is>
      </c>
      <c r="F5" s="2" t="inlineStr">
        <is>
          <t>Michael</t>
        </is>
      </c>
      <c r="G5" s="2" t="n">
        <v>9</v>
      </c>
      <c r="H5" s="5" t="n">
        <v>114000</v>
      </c>
      <c r="I5" s="6" t="n">
        <v>0.1</v>
      </c>
      <c r="J5" s="5" t="n">
        <v>923400</v>
      </c>
      <c r="K5" s="5" t="n">
        <v>738720</v>
      </c>
      <c r="L5" s="5" t="n">
        <v>184680</v>
      </c>
      <c r="M5" s="7">
        <f>L5/J5</f>
        <v/>
      </c>
    </row>
    <row r="6">
      <c r="A6" s="2" t="n">
        <v>5</v>
      </c>
      <c r="B6" s="4" t="n">
        <v>46153</v>
      </c>
      <c r="C6" s="2" t="inlineStr">
        <is>
          <t>Keyboard</t>
        </is>
      </c>
      <c r="D6" s="2" t="inlineStr">
        <is>
          <t>Electronics</t>
        </is>
      </c>
      <c r="E6" s="2" t="inlineStr">
        <is>
          <t>Kano</t>
        </is>
      </c>
      <c r="F6" s="2" t="inlineStr">
        <is>
          <t>Grace</t>
        </is>
      </c>
      <c r="G6" s="2" t="n">
        <v>3</v>
      </c>
      <c r="H6" s="5" t="n">
        <v>31500</v>
      </c>
      <c r="I6" s="6" t="n">
        <v>0</v>
      </c>
      <c r="J6" s="5" t="n">
        <v>94500</v>
      </c>
      <c r="K6" s="5" t="n">
        <v>68040</v>
      </c>
      <c r="L6" s="5" t="n">
        <v>26460</v>
      </c>
      <c r="M6" s="7">
        <f>L6/J6</f>
        <v/>
      </c>
    </row>
    <row r="7">
      <c r="A7" s="2" t="n">
        <v>6</v>
      </c>
      <c r="B7" s="4" t="n">
        <v>46154</v>
      </c>
      <c r="C7" s="2" t="inlineStr">
        <is>
          <t>Monitor</t>
        </is>
      </c>
      <c r="D7" s="2" t="inlineStr">
        <is>
          <t>Electronics</t>
        </is>
      </c>
      <c r="E7" s="2" t="inlineStr">
        <is>
          <t>Lagos</t>
        </is>
      </c>
      <c r="F7" s="2" t="inlineStr">
        <is>
          <t>Michael</t>
        </is>
      </c>
      <c r="G7" s="2" t="n">
        <v>9</v>
      </c>
      <c r="H7" s="5" t="n">
        <v>168000</v>
      </c>
      <c r="I7" s="6" t="n">
        <v>0.05</v>
      </c>
      <c r="J7" s="5" t="n">
        <v>1436400</v>
      </c>
      <c r="K7" s="5" t="n">
        <v>1088640</v>
      </c>
      <c r="L7" s="5" t="n">
        <v>347760</v>
      </c>
      <c r="M7" s="7">
        <f>L7/J7</f>
        <v/>
      </c>
    </row>
    <row r="8">
      <c r="A8" s="2" t="n">
        <v>7</v>
      </c>
      <c r="B8" s="4" t="n">
        <v>46112</v>
      </c>
      <c r="C8" s="2" t="inlineStr">
        <is>
          <t>Printer</t>
        </is>
      </c>
      <c r="D8" s="2" t="inlineStr">
        <is>
          <t>Electronics</t>
        </is>
      </c>
      <c r="E8" s="2" t="inlineStr">
        <is>
          <t>Kano</t>
        </is>
      </c>
      <c r="F8" s="2" t="inlineStr">
        <is>
          <t>David</t>
        </is>
      </c>
      <c r="G8" s="2" t="n">
        <v>2</v>
      </c>
      <c r="H8" s="5" t="n">
        <v>120000</v>
      </c>
      <c r="I8" s="6" t="n">
        <v>0</v>
      </c>
      <c r="J8" s="5" t="n">
        <v>240000</v>
      </c>
      <c r="K8" s="5" t="n">
        <v>172800</v>
      </c>
      <c r="L8" s="5" t="n">
        <v>67200</v>
      </c>
      <c r="M8" s="7">
        <f>L8/J8</f>
        <v/>
      </c>
    </row>
    <row r="9">
      <c r="A9" s="2" t="n">
        <v>8</v>
      </c>
      <c r="B9" s="4" t="n">
        <v>46057</v>
      </c>
      <c r="C9" s="2" t="inlineStr">
        <is>
          <t>Keyboard</t>
        </is>
      </c>
      <c r="D9" s="2" t="inlineStr">
        <is>
          <t>Electronics</t>
        </is>
      </c>
      <c r="E9" s="2" t="inlineStr">
        <is>
          <t>Lagos</t>
        </is>
      </c>
      <c r="F9" s="2" t="inlineStr">
        <is>
          <t>Michael</t>
        </is>
      </c>
      <c r="G9" s="2" t="n">
        <v>7</v>
      </c>
      <c r="H9" s="5" t="n">
        <v>28500</v>
      </c>
      <c r="I9" s="6" t="n">
        <v>0.1</v>
      </c>
      <c r="J9" s="5" t="n">
        <v>179550</v>
      </c>
      <c r="K9" s="5" t="n">
        <v>143640</v>
      </c>
      <c r="L9" s="5" t="n">
        <v>35910</v>
      </c>
      <c r="M9" s="7">
        <f>L9/J9</f>
        <v/>
      </c>
    </row>
    <row r="10">
      <c r="A10" s="2" t="n">
        <v>9</v>
      </c>
      <c r="B10" s="4" t="n">
        <v>46156</v>
      </c>
      <c r="C10" s="2" t="inlineStr">
        <is>
          <t>Office Chair</t>
        </is>
      </c>
      <c r="D10" s="2" t="inlineStr">
        <is>
          <t>Furniture</t>
        </is>
      </c>
      <c r="E10" s="2" t="inlineStr">
        <is>
          <t>Abuja</t>
        </is>
      </c>
      <c r="F10" s="2" t="inlineStr">
        <is>
          <t>Michael</t>
        </is>
      </c>
      <c r="G10" s="2" t="n">
        <v>8</v>
      </c>
      <c r="H10" s="5" t="n">
        <v>180000</v>
      </c>
      <c r="I10" s="6" t="n">
        <v>0.05</v>
      </c>
      <c r="J10" s="5" t="n">
        <v>1368000</v>
      </c>
      <c r="K10" s="5" t="n">
        <v>1036800</v>
      </c>
      <c r="L10" s="5" t="n">
        <v>331200</v>
      </c>
      <c r="M10" s="7">
        <f>L10/J10</f>
        <v/>
      </c>
    </row>
    <row r="11">
      <c r="A11" s="2" t="n">
        <v>10</v>
      </c>
      <c r="B11" s="4" t="n">
        <v>46036</v>
      </c>
      <c r="C11" s="2" t="inlineStr">
        <is>
          <t>Printer</t>
        </is>
      </c>
      <c r="D11" s="2" t="inlineStr">
        <is>
          <t>Electronics</t>
        </is>
      </c>
      <c r="E11" s="2" t="inlineStr">
        <is>
          <t>Port Harcourt</t>
        </is>
      </c>
      <c r="F11" s="2" t="inlineStr">
        <is>
          <t>Aisha</t>
        </is>
      </c>
      <c r="G11" s="2" t="n">
        <v>2</v>
      </c>
      <c r="H11" s="5" t="n">
        <v>120000</v>
      </c>
      <c r="I11" s="6" t="n">
        <v>0.05</v>
      </c>
      <c r="J11" s="5" t="n">
        <v>228000</v>
      </c>
      <c r="K11" s="5" t="n">
        <v>172800</v>
      </c>
      <c r="L11" s="5" t="n">
        <v>55200</v>
      </c>
      <c r="M11" s="7">
        <f>L11/J11</f>
        <v/>
      </c>
    </row>
    <row r="12">
      <c r="A12" s="2" t="n">
        <v>11</v>
      </c>
      <c r="B12" s="4" t="n">
        <v>46104</v>
      </c>
      <c r="C12" s="2" t="inlineStr">
        <is>
          <t>Printer</t>
        </is>
      </c>
      <c r="D12" s="2" t="inlineStr">
        <is>
          <t>Electronics</t>
        </is>
      </c>
      <c r="E12" s="2" t="inlineStr">
        <is>
          <t>Kano</t>
        </is>
      </c>
      <c r="F12" s="2" t="inlineStr">
        <is>
          <t>David</t>
        </is>
      </c>
      <c r="G12" s="2" t="n">
        <v>8</v>
      </c>
      <c r="H12" s="5" t="n">
        <v>114000</v>
      </c>
      <c r="I12" s="6" t="n">
        <v>0</v>
      </c>
      <c r="J12" s="5" t="n">
        <v>912000</v>
      </c>
      <c r="K12" s="5" t="n">
        <v>656640</v>
      </c>
      <c r="L12" s="5" t="n">
        <v>255360</v>
      </c>
      <c r="M12" s="7">
        <f>L12/J12</f>
        <v/>
      </c>
    </row>
    <row r="13">
      <c r="A13" s="2" t="n">
        <v>12</v>
      </c>
      <c r="B13" s="4" t="n">
        <v>46067</v>
      </c>
      <c r="C13" s="2" t="inlineStr">
        <is>
          <t>Laptop</t>
        </is>
      </c>
      <c r="D13" s="2" t="inlineStr">
        <is>
          <t>Electronics</t>
        </is>
      </c>
      <c r="E13" s="2" t="inlineStr">
        <is>
          <t>Lagos</t>
        </is>
      </c>
      <c r="F13" s="2" t="inlineStr">
        <is>
          <t>Aisha</t>
        </is>
      </c>
      <c r="G13" s="2" t="n">
        <v>9</v>
      </c>
      <c r="H13" s="5" t="n">
        <v>427500</v>
      </c>
      <c r="I13" s="6" t="n">
        <v>0.1</v>
      </c>
      <c r="J13" s="5" t="n">
        <v>3462750</v>
      </c>
      <c r="K13" s="5" t="n">
        <v>2770200</v>
      </c>
      <c r="L13" s="5" t="n">
        <v>692550</v>
      </c>
      <c r="M13" s="7">
        <f>L13/J13</f>
        <v/>
      </c>
    </row>
    <row r="14">
      <c r="A14" s="2" t="n">
        <v>13</v>
      </c>
      <c r="B14" s="4" t="n">
        <v>46161</v>
      </c>
      <c r="C14" s="2" t="inlineStr">
        <is>
          <t>Laptop</t>
        </is>
      </c>
      <c r="D14" s="2" t="inlineStr">
        <is>
          <t>Electronics</t>
        </is>
      </c>
      <c r="E14" s="2" t="inlineStr">
        <is>
          <t>Ibadan</t>
        </is>
      </c>
      <c r="F14" s="2" t="inlineStr">
        <is>
          <t>Aisha</t>
        </is>
      </c>
      <c r="G14" s="2" t="n">
        <v>8</v>
      </c>
      <c r="H14" s="5" t="n">
        <v>427500</v>
      </c>
      <c r="I14" s="6" t="n">
        <v>0.1</v>
      </c>
      <c r="J14" s="5" t="n">
        <v>3078000</v>
      </c>
      <c r="K14" s="5" t="n">
        <v>2462400</v>
      </c>
      <c r="L14" s="5" t="n">
        <v>615600</v>
      </c>
      <c r="M14" s="7">
        <f>L14/J14</f>
        <v/>
      </c>
    </row>
    <row r="15">
      <c r="A15" s="2" t="n">
        <v>14</v>
      </c>
      <c r="B15" s="4" t="n">
        <v>46027</v>
      </c>
      <c r="C15" s="2" t="inlineStr">
        <is>
          <t>Headset</t>
        </is>
      </c>
      <c r="D15" s="2" t="inlineStr">
        <is>
          <t>Electronics</t>
        </is>
      </c>
      <c r="E15" s="2" t="inlineStr">
        <is>
          <t>Abuja</t>
        </is>
      </c>
      <c r="F15" s="2" t="inlineStr">
        <is>
          <t>David</t>
        </is>
      </c>
      <c r="G15" s="2" t="n">
        <v>3</v>
      </c>
      <c r="H15" s="5" t="n">
        <v>42750</v>
      </c>
      <c r="I15" s="6" t="n">
        <v>0.1</v>
      </c>
      <c r="J15" s="5" t="n">
        <v>115425</v>
      </c>
      <c r="K15" s="5" t="n">
        <v>92340</v>
      </c>
      <c r="L15" s="5" t="n">
        <v>23085</v>
      </c>
      <c r="M15" s="7">
        <f>L15/J15</f>
        <v/>
      </c>
    </row>
    <row r="16">
      <c r="A16" s="2" t="n">
        <v>15</v>
      </c>
      <c r="B16" s="4" t="n">
        <v>46055</v>
      </c>
      <c r="C16" s="2" t="inlineStr">
        <is>
          <t>Laptop</t>
        </is>
      </c>
      <c r="D16" s="2" t="inlineStr">
        <is>
          <t>Electronics</t>
        </is>
      </c>
      <c r="E16" s="2" t="inlineStr">
        <is>
          <t>Kano</t>
        </is>
      </c>
      <c r="F16" s="2" t="inlineStr">
        <is>
          <t>Grace</t>
        </is>
      </c>
      <c r="G16" s="2" t="n">
        <v>7</v>
      </c>
      <c r="H16" s="5" t="n">
        <v>427500</v>
      </c>
      <c r="I16" s="6" t="n">
        <v>0.05</v>
      </c>
      <c r="J16" s="5" t="n">
        <v>2842875</v>
      </c>
      <c r="K16" s="5" t="n">
        <v>2154600</v>
      </c>
      <c r="L16" s="5" t="n">
        <v>688275</v>
      </c>
      <c r="M16" s="7">
        <f>L16/J16</f>
        <v/>
      </c>
    </row>
    <row r="17">
      <c r="A17" s="2" t="n">
        <v>16</v>
      </c>
      <c r="B17" s="4" t="n">
        <v>46057</v>
      </c>
      <c r="C17" s="2" t="inlineStr">
        <is>
          <t>Keyboard</t>
        </is>
      </c>
      <c r="D17" s="2" t="inlineStr">
        <is>
          <t>Electronics</t>
        </is>
      </c>
      <c r="E17" s="2" t="inlineStr">
        <is>
          <t>Lagos</t>
        </is>
      </c>
      <c r="F17" s="2" t="inlineStr">
        <is>
          <t>Grace</t>
        </is>
      </c>
      <c r="G17" s="2" t="n">
        <v>8</v>
      </c>
      <c r="H17" s="5" t="n">
        <v>30000</v>
      </c>
      <c r="I17" s="6" t="n">
        <v>0.1</v>
      </c>
      <c r="J17" s="5" t="n">
        <v>216000</v>
      </c>
      <c r="K17" s="5" t="n">
        <v>172800</v>
      </c>
      <c r="L17" s="5" t="n">
        <v>43200</v>
      </c>
      <c r="M17" s="7">
        <f>L17/J17</f>
        <v/>
      </c>
    </row>
    <row r="18">
      <c r="A18" s="2" t="n">
        <v>17</v>
      </c>
      <c r="B18" s="4" t="n">
        <v>46164</v>
      </c>
      <c r="C18" s="2" t="inlineStr">
        <is>
          <t>Monitor</t>
        </is>
      </c>
      <c r="D18" s="2" t="inlineStr">
        <is>
          <t>Electronics</t>
        </is>
      </c>
      <c r="E18" s="2" t="inlineStr">
        <is>
          <t>Ibadan</t>
        </is>
      </c>
      <c r="F18" s="2" t="inlineStr">
        <is>
          <t>Aisha</t>
        </is>
      </c>
      <c r="G18" s="2" t="n">
        <v>3</v>
      </c>
      <c r="H18" s="5" t="n">
        <v>152000</v>
      </c>
      <c r="I18" s="6" t="n">
        <v>0</v>
      </c>
      <c r="J18" s="5" t="n">
        <v>456000</v>
      </c>
      <c r="K18" s="5" t="n">
        <v>328320</v>
      </c>
      <c r="L18" s="5" t="n">
        <v>127680</v>
      </c>
      <c r="M18" s="7">
        <f>L18/J18</f>
        <v/>
      </c>
    </row>
    <row r="19">
      <c r="A19" s="2" t="n">
        <v>18</v>
      </c>
      <c r="B19" s="4" t="n">
        <v>46085</v>
      </c>
      <c r="C19" s="2" t="inlineStr">
        <is>
          <t>Office Chair</t>
        </is>
      </c>
      <c r="D19" s="2" t="inlineStr">
        <is>
          <t>Furniture</t>
        </is>
      </c>
      <c r="E19" s="2" t="inlineStr">
        <is>
          <t>Lagos</t>
        </is>
      </c>
      <c r="F19" s="2" t="inlineStr">
        <is>
          <t>Michael</t>
        </is>
      </c>
      <c r="G19" s="2" t="n">
        <v>10</v>
      </c>
      <c r="H19" s="5" t="n">
        <v>171000</v>
      </c>
      <c r="I19" s="6" t="n">
        <v>0.1</v>
      </c>
      <c r="J19" s="5" t="n">
        <v>1539000</v>
      </c>
      <c r="K19" s="5" t="n">
        <v>1231200</v>
      </c>
      <c r="L19" s="5" t="n">
        <v>307800</v>
      </c>
      <c r="M19" s="7">
        <f>L19/J19</f>
        <v/>
      </c>
    </row>
    <row r="20">
      <c r="A20" s="2" t="n">
        <v>19</v>
      </c>
      <c r="B20" s="4" t="n">
        <v>46173</v>
      </c>
      <c r="C20" s="2" t="inlineStr">
        <is>
          <t>Monitor</t>
        </is>
      </c>
      <c r="D20" s="2" t="inlineStr">
        <is>
          <t>Electronics</t>
        </is>
      </c>
      <c r="E20" s="2" t="inlineStr">
        <is>
          <t>Kano</t>
        </is>
      </c>
      <c r="F20" s="2" t="inlineStr">
        <is>
          <t>Grace</t>
        </is>
      </c>
      <c r="G20" s="2" t="n">
        <v>4</v>
      </c>
      <c r="H20" s="5" t="n">
        <v>160000</v>
      </c>
      <c r="I20" s="6" t="n">
        <v>0</v>
      </c>
      <c r="J20" s="5" t="n">
        <v>640000</v>
      </c>
      <c r="K20" s="5" t="n">
        <v>460800</v>
      </c>
      <c r="L20" s="5" t="n">
        <v>179200</v>
      </c>
      <c r="M20" s="7">
        <f>L20/J20</f>
        <v/>
      </c>
    </row>
    <row r="21" ht="15.75" customHeight="1" s="19">
      <c r="A21" s="2" t="n">
        <v>20</v>
      </c>
      <c r="B21" s="4" t="n">
        <v>46108</v>
      </c>
      <c r="C21" s="2" t="inlineStr">
        <is>
          <t>Monitor</t>
        </is>
      </c>
      <c r="D21" s="2" t="inlineStr">
        <is>
          <t>Electronics</t>
        </is>
      </c>
      <c r="E21" s="2" t="inlineStr">
        <is>
          <t>Port Harcourt</t>
        </is>
      </c>
      <c r="F21" s="2" t="inlineStr">
        <is>
          <t>David</t>
        </is>
      </c>
      <c r="G21" s="2" t="n">
        <v>4</v>
      </c>
      <c r="H21" s="5" t="n">
        <v>152000</v>
      </c>
      <c r="I21" s="6" t="n">
        <v>0.1</v>
      </c>
      <c r="J21" s="5" t="n">
        <v>547200</v>
      </c>
      <c r="K21" s="5" t="n">
        <v>437760</v>
      </c>
      <c r="L21" s="5" t="n">
        <v>109440</v>
      </c>
      <c r="M21" s="7">
        <f>L21/J21</f>
        <v/>
      </c>
    </row>
    <row r="22" ht="15.75" customHeight="1" s="19">
      <c r="A22" s="2" t="n">
        <v>21</v>
      </c>
      <c r="B22" s="4" t="n">
        <v>46050</v>
      </c>
      <c r="C22" s="2" t="inlineStr">
        <is>
          <t>Office Chair</t>
        </is>
      </c>
      <c r="D22" s="2" t="inlineStr">
        <is>
          <t>Furniture</t>
        </is>
      </c>
      <c r="E22" s="2" t="inlineStr">
        <is>
          <t>Port Harcourt</t>
        </is>
      </c>
      <c r="F22" s="2" t="inlineStr">
        <is>
          <t>Michael</t>
        </is>
      </c>
      <c r="G22" s="2" t="n">
        <v>9</v>
      </c>
      <c r="H22" s="5" t="n">
        <v>171000</v>
      </c>
      <c r="I22" s="6" t="n">
        <v>0.05</v>
      </c>
      <c r="J22" s="5" t="n">
        <v>1462050</v>
      </c>
      <c r="K22" s="5" t="n">
        <v>1108080</v>
      </c>
      <c r="L22" s="5" t="n">
        <v>353970</v>
      </c>
      <c r="M22" s="7">
        <f>L22/J22</f>
        <v/>
      </c>
    </row>
    <row r="23" ht="15.75" customHeight="1" s="19">
      <c r="A23" s="2" t="n">
        <v>22</v>
      </c>
      <c r="B23" s="4" t="n">
        <v>46097</v>
      </c>
      <c r="C23" s="2" t="inlineStr">
        <is>
          <t>Keyboard</t>
        </is>
      </c>
      <c r="D23" s="2" t="inlineStr">
        <is>
          <t>Electronics</t>
        </is>
      </c>
      <c r="E23" s="2" t="inlineStr">
        <is>
          <t>Abuja</t>
        </is>
      </c>
      <c r="F23" s="2" t="inlineStr">
        <is>
          <t>Michael</t>
        </is>
      </c>
      <c r="G23" s="2" t="n">
        <v>4</v>
      </c>
      <c r="H23" s="5" t="n">
        <v>30000</v>
      </c>
      <c r="I23" s="6" t="n">
        <v>0.05</v>
      </c>
      <c r="J23" s="5" t="n">
        <v>114000</v>
      </c>
      <c r="K23" s="5" t="n">
        <v>86400</v>
      </c>
      <c r="L23" s="5" t="n">
        <v>27600</v>
      </c>
      <c r="M23" s="7">
        <f>L23/J23</f>
        <v/>
      </c>
    </row>
    <row r="24" ht="15.75" customHeight="1" s="19">
      <c r="A24" s="2" t="n">
        <v>23</v>
      </c>
      <c r="B24" s="4" t="n">
        <v>46151</v>
      </c>
      <c r="C24" s="2" t="inlineStr">
        <is>
          <t>Laptop</t>
        </is>
      </c>
      <c r="D24" s="2" t="inlineStr">
        <is>
          <t>Electronics</t>
        </is>
      </c>
      <c r="E24" s="2" t="inlineStr">
        <is>
          <t>Lagos</t>
        </is>
      </c>
      <c r="F24" s="2" t="inlineStr">
        <is>
          <t>Grace</t>
        </is>
      </c>
      <c r="G24" s="2" t="n">
        <v>7</v>
      </c>
      <c r="H24" s="5" t="n">
        <v>450000</v>
      </c>
      <c r="I24" s="6" t="n">
        <v>0</v>
      </c>
      <c r="J24" s="5" t="n">
        <v>3150000</v>
      </c>
      <c r="K24" s="5" t="n">
        <v>2268000</v>
      </c>
      <c r="L24" s="5" t="n">
        <v>882000</v>
      </c>
      <c r="M24" s="7">
        <f>L24/J24</f>
        <v/>
      </c>
    </row>
    <row r="25" ht="15.75" customHeight="1" s="19">
      <c r="A25" s="2" t="n">
        <v>24</v>
      </c>
      <c r="B25" s="4" t="n">
        <v>46025</v>
      </c>
      <c r="C25" s="2" t="inlineStr">
        <is>
          <t>Printer</t>
        </is>
      </c>
      <c r="D25" s="2" t="inlineStr">
        <is>
          <t>Electronics</t>
        </is>
      </c>
      <c r="E25" s="2" t="inlineStr">
        <is>
          <t>Ibadan</t>
        </is>
      </c>
      <c r="F25" s="2" t="inlineStr">
        <is>
          <t>Aisha</t>
        </is>
      </c>
      <c r="G25" s="2" t="n">
        <v>9</v>
      </c>
      <c r="H25" s="5" t="n">
        <v>114000</v>
      </c>
      <c r="I25" s="6" t="n">
        <v>0</v>
      </c>
      <c r="J25" s="5" t="n">
        <v>1026000</v>
      </c>
      <c r="K25" s="5" t="n">
        <v>738720</v>
      </c>
      <c r="L25" s="5" t="n">
        <v>287280</v>
      </c>
      <c r="M25" s="7">
        <f>L25/J25</f>
        <v/>
      </c>
    </row>
    <row r="26" ht="15.75" customHeight="1" s="19">
      <c r="A26" s="2" t="n">
        <v>25</v>
      </c>
      <c r="B26" s="4" t="n">
        <v>46194</v>
      </c>
      <c r="C26" s="2" t="inlineStr">
        <is>
          <t>Printer</t>
        </is>
      </c>
      <c r="D26" s="2" t="inlineStr">
        <is>
          <t>Electronics</t>
        </is>
      </c>
      <c r="E26" s="2" t="inlineStr">
        <is>
          <t>Ibadan</t>
        </is>
      </c>
      <c r="F26" s="2" t="inlineStr">
        <is>
          <t>Aisha</t>
        </is>
      </c>
      <c r="G26" s="2" t="n">
        <v>5</v>
      </c>
      <c r="H26" s="5" t="n">
        <v>114000</v>
      </c>
      <c r="I26" s="6" t="n">
        <v>0.1</v>
      </c>
      <c r="J26" s="5" t="n">
        <v>513000</v>
      </c>
      <c r="K26" s="5" t="n">
        <v>410400</v>
      </c>
      <c r="L26" s="5" t="n">
        <v>102600</v>
      </c>
      <c r="M26" s="7">
        <f>L26/J26</f>
        <v/>
      </c>
    </row>
    <row r="27" ht="15.75" customHeight="1" s="19">
      <c r="A27" s="2" t="n">
        <v>26</v>
      </c>
      <c r="B27" s="4" t="n">
        <v>46074</v>
      </c>
      <c r="C27" s="2" t="inlineStr">
        <is>
          <t>Keyboard</t>
        </is>
      </c>
      <c r="D27" s="2" t="inlineStr">
        <is>
          <t>Electronics</t>
        </is>
      </c>
      <c r="E27" s="2" t="inlineStr">
        <is>
          <t>Port Harcourt</t>
        </is>
      </c>
      <c r="F27" s="2" t="inlineStr">
        <is>
          <t>David</t>
        </is>
      </c>
      <c r="G27" s="2" t="n">
        <v>1</v>
      </c>
      <c r="H27" s="5" t="n">
        <v>30000</v>
      </c>
      <c r="I27" s="6" t="n">
        <v>0</v>
      </c>
      <c r="J27" s="5" t="n">
        <v>30000</v>
      </c>
      <c r="K27" s="5" t="n">
        <v>21600</v>
      </c>
      <c r="L27" s="5" t="n">
        <v>8400</v>
      </c>
      <c r="M27" s="7">
        <f>L27/J27</f>
        <v/>
      </c>
    </row>
    <row r="28" ht="15.75" customHeight="1" s="19">
      <c r="A28" s="2" t="n">
        <v>27</v>
      </c>
      <c r="B28" s="4" t="n">
        <v>46103</v>
      </c>
      <c r="C28" s="2" t="inlineStr">
        <is>
          <t>Headset</t>
        </is>
      </c>
      <c r="D28" s="2" t="inlineStr">
        <is>
          <t>Electronics</t>
        </is>
      </c>
      <c r="E28" s="2" t="inlineStr">
        <is>
          <t>Ibadan</t>
        </is>
      </c>
      <c r="F28" s="2" t="inlineStr">
        <is>
          <t>Aisha</t>
        </is>
      </c>
      <c r="G28" s="2" t="n">
        <v>1</v>
      </c>
      <c r="H28" s="5" t="n">
        <v>42750</v>
      </c>
      <c r="I28" s="6" t="n">
        <v>0</v>
      </c>
      <c r="J28" s="5" t="n">
        <v>42750</v>
      </c>
      <c r="K28" s="5" t="n">
        <v>30780</v>
      </c>
      <c r="L28" s="5" t="n">
        <v>11970</v>
      </c>
      <c r="M28" s="7">
        <f>L28/J28</f>
        <v/>
      </c>
    </row>
    <row r="29" ht="15.75" customHeight="1" s="19">
      <c r="A29" s="2" t="n">
        <v>28</v>
      </c>
      <c r="B29" s="4" t="n">
        <v>46151</v>
      </c>
      <c r="C29" s="2" t="inlineStr">
        <is>
          <t>Office Chair</t>
        </is>
      </c>
      <c r="D29" s="2" t="inlineStr">
        <is>
          <t>Furniture</t>
        </is>
      </c>
      <c r="E29" s="2" t="inlineStr">
        <is>
          <t>Ibadan</t>
        </is>
      </c>
      <c r="F29" s="2" t="inlineStr">
        <is>
          <t>David</t>
        </is>
      </c>
      <c r="G29" s="2" t="n">
        <v>2</v>
      </c>
      <c r="H29" s="5" t="n">
        <v>180000</v>
      </c>
      <c r="I29" s="6" t="n">
        <v>0.1</v>
      </c>
      <c r="J29" s="5" t="n">
        <v>324000</v>
      </c>
      <c r="K29" s="5" t="n">
        <v>259200</v>
      </c>
      <c r="L29" s="5" t="n">
        <v>64800</v>
      </c>
      <c r="M29" s="7">
        <f>L29/J29</f>
        <v/>
      </c>
    </row>
    <row r="30" ht="15.75" customHeight="1" s="19">
      <c r="A30" s="2" t="n">
        <v>29</v>
      </c>
      <c r="B30" s="4" t="n">
        <v>46090</v>
      </c>
      <c r="C30" s="2" t="inlineStr">
        <is>
          <t>Monitor</t>
        </is>
      </c>
      <c r="D30" s="2" t="inlineStr">
        <is>
          <t>Electronics</t>
        </is>
      </c>
      <c r="E30" s="2" t="inlineStr">
        <is>
          <t>Ibadan</t>
        </is>
      </c>
      <c r="F30" s="2" t="inlineStr">
        <is>
          <t>Grace</t>
        </is>
      </c>
      <c r="G30" s="2" t="n">
        <v>10</v>
      </c>
      <c r="H30" s="5" t="n">
        <v>160000</v>
      </c>
      <c r="I30" s="6" t="n">
        <v>0.1</v>
      </c>
      <c r="J30" s="5" t="n">
        <v>1440000</v>
      </c>
      <c r="K30" s="5" t="n">
        <v>1152000</v>
      </c>
      <c r="L30" s="5" t="n">
        <v>288000</v>
      </c>
      <c r="M30" s="7">
        <f>L30/J30</f>
        <v/>
      </c>
    </row>
    <row r="31" ht="15.75" customHeight="1" s="19">
      <c r="A31" s="2" t="n">
        <v>30</v>
      </c>
      <c r="B31" s="4" t="n">
        <v>46161</v>
      </c>
      <c r="C31" s="2" t="inlineStr">
        <is>
          <t>Laptop</t>
        </is>
      </c>
      <c r="D31" s="2" t="inlineStr">
        <is>
          <t>Electronics</t>
        </is>
      </c>
      <c r="E31" s="2" t="inlineStr">
        <is>
          <t>Lagos</t>
        </is>
      </c>
      <c r="F31" s="2" t="inlineStr">
        <is>
          <t>Aisha</t>
        </is>
      </c>
      <c r="G31" s="2" t="n">
        <v>6</v>
      </c>
      <c r="H31" s="5" t="n">
        <v>427500</v>
      </c>
      <c r="I31" s="6" t="n">
        <v>0.05</v>
      </c>
      <c r="J31" s="5" t="n">
        <v>2436750</v>
      </c>
      <c r="K31" s="5" t="n">
        <v>1846800</v>
      </c>
      <c r="L31" s="5" t="n">
        <v>589950</v>
      </c>
      <c r="M31" s="7">
        <f>L31/J31</f>
        <v/>
      </c>
    </row>
    <row r="32" ht="15.75" customHeight="1" s="19">
      <c r="A32" s="2" t="n">
        <v>31</v>
      </c>
      <c r="B32" s="4" t="n">
        <v>46170</v>
      </c>
      <c r="C32" s="2" t="inlineStr">
        <is>
          <t>Keyboard</t>
        </is>
      </c>
      <c r="D32" s="2" t="inlineStr">
        <is>
          <t>Electronics</t>
        </is>
      </c>
      <c r="E32" s="2" t="inlineStr">
        <is>
          <t>Port Harcourt</t>
        </is>
      </c>
      <c r="F32" s="2" t="inlineStr">
        <is>
          <t>Grace</t>
        </is>
      </c>
      <c r="G32" s="2" t="n">
        <v>6</v>
      </c>
      <c r="H32" s="5" t="n">
        <v>28500</v>
      </c>
      <c r="I32" s="6" t="n">
        <v>0.1</v>
      </c>
      <c r="J32" s="5" t="n">
        <v>153900</v>
      </c>
      <c r="K32" s="5" t="n">
        <v>123120</v>
      </c>
      <c r="L32" s="5" t="n">
        <v>30780</v>
      </c>
      <c r="M32" s="7">
        <f>L32/J32</f>
        <v/>
      </c>
    </row>
    <row r="33" ht="15.75" customHeight="1" s="19">
      <c r="A33" s="2" t="n">
        <v>32</v>
      </c>
      <c r="B33" s="4" t="n">
        <v>46169</v>
      </c>
      <c r="C33" s="2" t="inlineStr">
        <is>
          <t>Keyboard</t>
        </is>
      </c>
      <c r="D33" s="2" t="inlineStr">
        <is>
          <t>Electronics</t>
        </is>
      </c>
      <c r="E33" s="2" t="inlineStr">
        <is>
          <t>Port Harcourt</t>
        </is>
      </c>
      <c r="F33" s="2" t="inlineStr">
        <is>
          <t>Michael</t>
        </is>
      </c>
      <c r="G33" s="2" t="n">
        <v>3</v>
      </c>
      <c r="H33" s="5" t="n">
        <v>30000</v>
      </c>
      <c r="I33" s="6" t="n">
        <v>0.1</v>
      </c>
      <c r="J33" s="5" t="n">
        <v>81000</v>
      </c>
      <c r="K33" s="5" t="n">
        <v>64800</v>
      </c>
      <c r="L33" s="5" t="n">
        <v>16200</v>
      </c>
      <c r="M33" s="7">
        <f>L33/J33</f>
        <v/>
      </c>
    </row>
    <row r="34" ht="15.75" customHeight="1" s="19">
      <c r="A34" s="2" t="n">
        <v>33</v>
      </c>
      <c r="B34" s="4" t="n">
        <v>46126</v>
      </c>
      <c r="C34" s="2" t="inlineStr">
        <is>
          <t>Laptop</t>
        </is>
      </c>
      <c r="D34" s="2" t="inlineStr">
        <is>
          <t>Electronics</t>
        </is>
      </c>
      <c r="E34" s="2" t="inlineStr">
        <is>
          <t>Lagos</t>
        </is>
      </c>
      <c r="F34" s="2" t="inlineStr">
        <is>
          <t>Grace</t>
        </is>
      </c>
      <c r="G34" s="2" t="n">
        <v>1</v>
      </c>
      <c r="H34" s="5" t="n">
        <v>472500</v>
      </c>
      <c r="I34" s="6" t="n">
        <v>0.05</v>
      </c>
      <c r="J34" s="5" t="n">
        <v>448875</v>
      </c>
      <c r="K34" s="5" t="n">
        <v>340200</v>
      </c>
      <c r="L34" s="5" t="n">
        <v>108675</v>
      </c>
      <c r="M34" s="7">
        <f>L34/J34</f>
        <v/>
      </c>
    </row>
    <row r="35" ht="15.75" customHeight="1" s="19">
      <c r="A35" s="2" t="n">
        <v>34</v>
      </c>
      <c r="B35" s="4" t="n">
        <v>46173</v>
      </c>
      <c r="C35" s="2" t="inlineStr">
        <is>
          <t>Keyboard</t>
        </is>
      </c>
      <c r="D35" s="2" t="inlineStr">
        <is>
          <t>Electronics</t>
        </is>
      </c>
      <c r="E35" s="2" t="inlineStr">
        <is>
          <t>Abuja</t>
        </is>
      </c>
      <c r="F35" s="2" t="inlineStr">
        <is>
          <t>Grace</t>
        </is>
      </c>
      <c r="G35" s="2" t="n">
        <v>9</v>
      </c>
      <c r="H35" s="5" t="n">
        <v>28500</v>
      </c>
      <c r="I35" s="6" t="n">
        <v>0.05</v>
      </c>
      <c r="J35" s="5" t="n">
        <v>243675</v>
      </c>
      <c r="K35" s="5" t="n">
        <v>184680</v>
      </c>
      <c r="L35" s="5" t="n">
        <v>58995</v>
      </c>
      <c r="M35" s="7">
        <f>L35/J35</f>
        <v/>
      </c>
    </row>
    <row r="36" ht="15.75" customHeight="1" s="19">
      <c r="A36" s="2" t="n">
        <v>35</v>
      </c>
      <c r="B36" s="4" t="n">
        <v>46024</v>
      </c>
      <c r="C36" s="2" t="inlineStr">
        <is>
          <t>Keyboard</t>
        </is>
      </c>
      <c r="D36" s="2" t="inlineStr">
        <is>
          <t>Electronics</t>
        </is>
      </c>
      <c r="E36" s="2" t="inlineStr">
        <is>
          <t>Lagos</t>
        </is>
      </c>
      <c r="F36" s="2" t="inlineStr">
        <is>
          <t>Michael</t>
        </is>
      </c>
      <c r="G36" s="2" t="n">
        <v>10</v>
      </c>
      <c r="H36" s="5" t="n">
        <v>28500</v>
      </c>
      <c r="I36" s="6" t="n">
        <v>0</v>
      </c>
      <c r="J36" s="5" t="n">
        <v>285000</v>
      </c>
      <c r="K36" s="5" t="n">
        <v>205200</v>
      </c>
      <c r="L36" s="5" t="n">
        <v>79800</v>
      </c>
      <c r="M36" s="7">
        <f>L36/J36</f>
        <v/>
      </c>
    </row>
    <row r="37" ht="15.75" customHeight="1" s="19">
      <c r="A37" s="2" t="n">
        <v>36</v>
      </c>
      <c r="B37" s="4" t="n">
        <v>46031</v>
      </c>
      <c r="C37" s="2" t="inlineStr">
        <is>
          <t>Monitor</t>
        </is>
      </c>
      <c r="D37" s="2" t="inlineStr">
        <is>
          <t>Electronics</t>
        </is>
      </c>
      <c r="E37" s="2" t="inlineStr">
        <is>
          <t>Lagos</t>
        </is>
      </c>
      <c r="F37" s="2" t="inlineStr">
        <is>
          <t>Grace</t>
        </is>
      </c>
      <c r="G37" s="2" t="n">
        <v>5</v>
      </c>
      <c r="H37" s="5" t="n">
        <v>168000</v>
      </c>
      <c r="I37" s="6" t="n">
        <v>0.1</v>
      </c>
      <c r="J37" s="5" t="n">
        <v>756000</v>
      </c>
      <c r="K37" s="5" t="n">
        <v>604800</v>
      </c>
      <c r="L37" s="5" t="n">
        <v>151200</v>
      </c>
      <c r="M37" s="7">
        <f>L37/J37</f>
        <v/>
      </c>
    </row>
    <row r="38" ht="15.75" customHeight="1" s="19">
      <c r="A38" s="2" t="n">
        <v>37</v>
      </c>
      <c r="B38" s="4" t="n">
        <v>46174</v>
      </c>
      <c r="C38" s="2" t="inlineStr">
        <is>
          <t>Headset</t>
        </is>
      </c>
      <c r="D38" s="2" t="inlineStr">
        <is>
          <t>Electronics</t>
        </is>
      </c>
      <c r="E38" s="2" t="inlineStr">
        <is>
          <t>Port Harcourt</t>
        </is>
      </c>
      <c r="F38" s="2" t="inlineStr">
        <is>
          <t>Grace</t>
        </is>
      </c>
      <c r="G38" s="2" t="n">
        <v>3</v>
      </c>
      <c r="H38" s="5" t="n">
        <v>45000</v>
      </c>
      <c r="I38" s="6" t="n">
        <v>0</v>
      </c>
      <c r="J38" s="5" t="n">
        <v>135000</v>
      </c>
      <c r="K38" s="5" t="n">
        <v>97200</v>
      </c>
      <c r="L38" s="5" t="n">
        <v>37800</v>
      </c>
      <c r="M38" s="7">
        <f>L38/J38</f>
        <v/>
      </c>
    </row>
    <row r="39" ht="15.75" customHeight="1" s="19">
      <c r="A39" s="2" t="n">
        <v>38</v>
      </c>
      <c r="B39" s="4" t="n">
        <v>46134</v>
      </c>
      <c r="C39" s="2" t="inlineStr">
        <is>
          <t>Laptop</t>
        </is>
      </c>
      <c r="D39" s="2" t="inlineStr">
        <is>
          <t>Electronics</t>
        </is>
      </c>
      <c r="E39" s="2" t="inlineStr">
        <is>
          <t>Lagos</t>
        </is>
      </c>
      <c r="F39" s="2" t="inlineStr">
        <is>
          <t>Grace</t>
        </is>
      </c>
      <c r="G39" s="2" t="n">
        <v>8</v>
      </c>
      <c r="H39" s="5" t="n">
        <v>450000</v>
      </c>
      <c r="I39" s="6" t="n">
        <v>0.05</v>
      </c>
      <c r="J39" s="5" t="n">
        <v>3420000</v>
      </c>
      <c r="K39" s="5" t="n">
        <v>2592000</v>
      </c>
      <c r="L39" s="5" t="n">
        <v>828000</v>
      </c>
      <c r="M39" s="7">
        <f>L39/J39</f>
        <v/>
      </c>
    </row>
    <row r="40" ht="15.75" customHeight="1" s="19">
      <c r="A40" s="2" t="n">
        <v>39</v>
      </c>
      <c r="B40" s="4" t="n">
        <v>46076</v>
      </c>
      <c r="C40" s="2" t="inlineStr">
        <is>
          <t>Laptop</t>
        </is>
      </c>
      <c r="D40" s="2" t="inlineStr">
        <is>
          <t>Electronics</t>
        </is>
      </c>
      <c r="E40" s="2" t="inlineStr">
        <is>
          <t>Ibadan</t>
        </is>
      </c>
      <c r="F40" s="2" t="inlineStr">
        <is>
          <t>Tunde</t>
        </is>
      </c>
      <c r="G40" s="2" t="n">
        <v>2</v>
      </c>
      <c r="H40" s="5" t="n">
        <v>450000</v>
      </c>
      <c r="I40" s="6" t="n">
        <v>0.05</v>
      </c>
      <c r="J40" s="5" t="n">
        <v>855000</v>
      </c>
      <c r="K40" s="5" t="n">
        <v>648000</v>
      </c>
      <c r="L40" s="5" t="n">
        <v>207000</v>
      </c>
      <c r="M40" s="7">
        <f>L40/J40</f>
        <v/>
      </c>
    </row>
    <row r="41" ht="15.75" customHeight="1" s="19">
      <c r="A41" s="2" t="n">
        <v>40</v>
      </c>
      <c r="B41" s="4" t="n">
        <v>46164</v>
      </c>
      <c r="C41" s="2" t="inlineStr">
        <is>
          <t>Laptop</t>
        </is>
      </c>
      <c r="D41" s="2" t="inlineStr">
        <is>
          <t>Electronics</t>
        </is>
      </c>
      <c r="E41" s="2" t="inlineStr">
        <is>
          <t>Kano</t>
        </is>
      </c>
      <c r="F41" s="2" t="inlineStr">
        <is>
          <t>Michael</t>
        </is>
      </c>
      <c r="G41" s="2" t="n">
        <v>4</v>
      </c>
      <c r="H41" s="5" t="n">
        <v>427500</v>
      </c>
      <c r="I41" s="6" t="n">
        <v>0</v>
      </c>
      <c r="J41" s="5" t="n">
        <v>1710000</v>
      </c>
      <c r="K41" s="5" t="n">
        <v>1231200</v>
      </c>
      <c r="L41" s="5" t="n">
        <v>478800</v>
      </c>
      <c r="M41" s="7">
        <f>L41/J41</f>
        <v/>
      </c>
    </row>
    <row r="42" ht="15.75" customHeight="1" s="19">
      <c r="A42" s="2" t="n">
        <v>41</v>
      </c>
      <c r="B42" s="4" t="n">
        <v>46137</v>
      </c>
      <c r="C42" s="2" t="inlineStr">
        <is>
          <t>Headset</t>
        </is>
      </c>
      <c r="D42" s="2" t="inlineStr">
        <is>
          <t>Electronics</t>
        </is>
      </c>
      <c r="E42" s="2" t="inlineStr">
        <is>
          <t>Kano</t>
        </is>
      </c>
      <c r="F42" s="2" t="inlineStr">
        <is>
          <t>Grace</t>
        </is>
      </c>
      <c r="G42" s="2" t="n">
        <v>1</v>
      </c>
      <c r="H42" s="5" t="n">
        <v>42750</v>
      </c>
      <c r="I42" s="6" t="n">
        <v>0.1</v>
      </c>
      <c r="J42" s="5" t="n">
        <v>38475</v>
      </c>
      <c r="K42" s="5" t="n">
        <v>30780</v>
      </c>
      <c r="L42" s="5" t="n">
        <v>7695</v>
      </c>
      <c r="M42" s="7">
        <f>L42/J42</f>
        <v/>
      </c>
    </row>
    <row r="43" ht="15.75" customHeight="1" s="19">
      <c r="A43" s="2" t="n">
        <v>42</v>
      </c>
      <c r="B43" s="4" t="n">
        <v>46043</v>
      </c>
      <c r="C43" s="2" t="inlineStr">
        <is>
          <t>Printer</t>
        </is>
      </c>
      <c r="D43" s="2" t="inlineStr">
        <is>
          <t>Electronics</t>
        </is>
      </c>
      <c r="E43" s="2" t="inlineStr">
        <is>
          <t>Lagos</t>
        </is>
      </c>
      <c r="F43" s="2" t="inlineStr">
        <is>
          <t>Michael</t>
        </is>
      </c>
      <c r="G43" s="2" t="n">
        <v>8</v>
      </c>
      <c r="H43" s="5" t="n">
        <v>126000</v>
      </c>
      <c r="I43" s="6" t="n">
        <v>0.1</v>
      </c>
      <c r="J43" s="5" t="n">
        <v>907200</v>
      </c>
      <c r="K43" s="5" t="n">
        <v>725760</v>
      </c>
      <c r="L43" s="5" t="n">
        <v>181440</v>
      </c>
      <c r="M43" s="7">
        <f>L43/J43</f>
        <v/>
      </c>
    </row>
    <row r="44" ht="15.75" customHeight="1" s="19">
      <c r="A44" s="2" t="n">
        <v>43</v>
      </c>
      <c r="B44" s="4" t="n">
        <v>46026</v>
      </c>
      <c r="C44" s="2" t="inlineStr">
        <is>
          <t>Laptop</t>
        </is>
      </c>
      <c r="D44" s="2" t="inlineStr">
        <is>
          <t>Electronics</t>
        </is>
      </c>
      <c r="E44" s="2" t="inlineStr">
        <is>
          <t>Ibadan</t>
        </is>
      </c>
      <c r="F44" s="2" t="inlineStr">
        <is>
          <t>Aisha</t>
        </is>
      </c>
      <c r="G44" s="2" t="n">
        <v>5</v>
      </c>
      <c r="H44" s="5" t="n">
        <v>427500</v>
      </c>
      <c r="I44" s="6" t="n">
        <v>0.1</v>
      </c>
      <c r="J44" s="5" t="n">
        <v>1923750</v>
      </c>
      <c r="K44" s="5" t="n">
        <v>1539000</v>
      </c>
      <c r="L44" s="5" t="n">
        <v>384750</v>
      </c>
      <c r="M44" s="7">
        <f>L44/J44</f>
        <v/>
      </c>
    </row>
    <row r="45" ht="15.75" customHeight="1" s="19">
      <c r="A45" s="2" t="n">
        <v>44</v>
      </c>
      <c r="B45" s="4" t="n">
        <v>46146</v>
      </c>
      <c r="C45" s="2" t="inlineStr">
        <is>
          <t>Laptop</t>
        </is>
      </c>
      <c r="D45" s="2" t="inlineStr">
        <is>
          <t>Electronics</t>
        </is>
      </c>
      <c r="E45" s="2" t="inlineStr">
        <is>
          <t>Lagos</t>
        </is>
      </c>
      <c r="F45" s="2" t="inlineStr">
        <is>
          <t>Tunde</t>
        </is>
      </c>
      <c r="G45" s="2" t="n">
        <v>5</v>
      </c>
      <c r="H45" s="5" t="n">
        <v>450000</v>
      </c>
      <c r="I45" s="6" t="n">
        <v>0.1</v>
      </c>
      <c r="J45" s="5" t="n">
        <v>2025000</v>
      </c>
      <c r="K45" s="5" t="n">
        <v>1620000</v>
      </c>
      <c r="L45" s="5" t="n">
        <v>405000</v>
      </c>
      <c r="M45" s="7">
        <f>L45/J45</f>
        <v/>
      </c>
    </row>
    <row r="46" ht="15.75" customHeight="1" s="19">
      <c r="A46" s="2" t="n">
        <v>45</v>
      </c>
      <c r="B46" s="4" t="n">
        <v>46117</v>
      </c>
      <c r="C46" s="2" t="inlineStr">
        <is>
          <t>Monitor</t>
        </is>
      </c>
      <c r="D46" s="2" t="inlineStr">
        <is>
          <t>Electronics</t>
        </is>
      </c>
      <c r="E46" s="2" t="inlineStr">
        <is>
          <t>Ibadan</t>
        </is>
      </c>
      <c r="F46" s="2" t="inlineStr">
        <is>
          <t>Michael</t>
        </is>
      </c>
      <c r="G46" s="2" t="n">
        <v>1</v>
      </c>
      <c r="H46" s="5" t="n">
        <v>160000</v>
      </c>
      <c r="I46" s="6" t="n">
        <v>0</v>
      </c>
      <c r="J46" s="5" t="n">
        <v>160000</v>
      </c>
      <c r="K46" s="5" t="n">
        <v>115200</v>
      </c>
      <c r="L46" s="5" t="n">
        <v>44800</v>
      </c>
      <c r="M46" s="7">
        <f>L46/J46</f>
        <v/>
      </c>
    </row>
    <row r="47" ht="15.75" customHeight="1" s="19">
      <c r="A47" s="2" t="n">
        <v>46</v>
      </c>
      <c r="B47" s="4" t="n">
        <v>46182</v>
      </c>
      <c r="C47" s="2" t="inlineStr">
        <is>
          <t>Laptop</t>
        </is>
      </c>
      <c r="D47" s="2" t="inlineStr">
        <is>
          <t>Electronics</t>
        </is>
      </c>
      <c r="E47" s="2" t="inlineStr">
        <is>
          <t>Lagos</t>
        </is>
      </c>
      <c r="F47" s="2" t="inlineStr">
        <is>
          <t>Grace</t>
        </is>
      </c>
      <c r="G47" s="2" t="n">
        <v>4</v>
      </c>
      <c r="H47" s="5" t="n">
        <v>472500</v>
      </c>
      <c r="I47" s="6" t="n">
        <v>0</v>
      </c>
      <c r="J47" s="5" t="n">
        <v>1890000</v>
      </c>
      <c r="K47" s="5" t="n">
        <v>1360800</v>
      </c>
      <c r="L47" s="5" t="n">
        <v>529200</v>
      </c>
      <c r="M47" s="7">
        <f>L47/J47</f>
        <v/>
      </c>
    </row>
    <row r="48" ht="15.75" customHeight="1" s="19">
      <c r="A48" s="2" t="n">
        <v>47</v>
      </c>
      <c r="B48" s="4" t="n">
        <v>46076</v>
      </c>
      <c r="C48" s="2" t="inlineStr">
        <is>
          <t>Office Chair</t>
        </is>
      </c>
      <c r="D48" s="2" t="inlineStr">
        <is>
          <t>Furniture</t>
        </is>
      </c>
      <c r="E48" s="2" t="inlineStr">
        <is>
          <t>Abuja</t>
        </is>
      </c>
      <c r="F48" s="2" t="inlineStr">
        <is>
          <t>Grace</t>
        </is>
      </c>
      <c r="G48" s="2" t="n">
        <v>9</v>
      </c>
      <c r="H48" s="5" t="n">
        <v>180000</v>
      </c>
      <c r="I48" s="6" t="n">
        <v>0.1</v>
      </c>
      <c r="J48" s="5" t="n">
        <v>1458000</v>
      </c>
      <c r="K48" s="5" t="n">
        <v>1166400</v>
      </c>
      <c r="L48" s="5" t="n">
        <v>291600</v>
      </c>
      <c r="M48" s="7">
        <f>L48/J48</f>
        <v/>
      </c>
    </row>
    <row r="49" ht="15.75" customHeight="1" s="19">
      <c r="A49" s="2" t="n">
        <v>48</v>
      </c>
      <c r="B49" s="4" t="n">
        <v>46108</v>
      </c>
      <c r="C49" s="2" t="inlineStr">
        <is>
          <t>Printer</t>
        </is>
      </c>
      <c r="D49" s="2" t="inlineStr">
        <is>
          <t>Electronics</t>
        </is>
      </c>
      <c r="E49" s="2" t="inlineStr">
        <is>
          <t>Abuja</t>
        </is>
      </c>
      <c r="F49" s="2" t="inlineStr">
        <is>
          <t>Grace</t>
        </is>
      </c>
      <c r="G49" s="2" t="n">
        <v>8</v>
      </c>
      <c r="H49" s="5" t="n">
        <v>120000</v>
      </c>
      <c r="I49" s="6" t="n">
        <v>0.1</v>
      </c>
      <c r="J49" s="5" t="n">
        <v>864000</v>
      </c>
      <c r="K49" s="5" t="n">
        <v>691200</v>
      </c>
      <c r="L49" s="5" t="n">
        <v>172800</v>
      </c>
      <c r="M49" s="7">
        <f>L49/J49</f>
        <v/>
      </c>
    </row>
    <row r="50" ht="15.75" customHeight="1" s="19">
      <c r="A50" s="2" t="n">
        <v>49</v>
      </c>
      <c r="B50" s="4" t="n">
        <v>46126</v>
      </c>
      <c r="C50" s="2" t="inlineStr">
        <is>
          <t>Office Chair</t>
        </is>
      </c>
      <c r="D50" s="2" t="inlineStr">
        <is>
          <t>Furniture</t>
        </is>
      </c>
      <c r="E50" s="2" t="inlineStr">
        <is>
          <t>Lagos</t>
        </is>
      </c>
      <c r="F50" s="2" t="inlineStr">
        <is>
          <t>Aisha</t>
        </is>
      </c>
      <c r="G50" s="2" t="n">
        <v>2</v>
      </c>
      <c r="H50" s="5" t="n">
        <v>180000</v>
      </c>
      <c r="I50" s="6" t="n">
        <v>0</v>
      </c>
      <c r="J50" s="5" t="n">
        <v>360000</v>
      </c>
      <c r="K50" s="5" t="n">
        <v>259200</v>
      </c>
      <c r="L50" s="5" t="n">
        <v>100800</v>
      </c>
      <c r="M50" s="7">
        <f>L50/J50</f>
        <v/>
      </c>
    </row>
    <row r="51" ht="15.75" customHeight="1" s="19">
      <c r="A51" s="2" t="n">
        <v>50</v>
      </c>
      <c r="B51" s="4" t="n">
        <v>46192</v>
      </c>
      <c r="C51" s="2" t="inlineStr">
        <is>
          <t>Headset</t>
        </is>
      </c>
      <c r="D51" s="2" t="inlineStr">
        <is>
          <t>Electronics</t>
        </is>
      </c>
      <c r="E51" s="2" t="inlineStr">
        <is>
          <t>Abuja</t>
        </is>
      </c>
      <c r="F51" s="2" t="inlineStr">
        <is>
          <t>Grace</t>
        </is>
      </c>
      <c r="G51" s="2" t="n">
        <v>6</v>
      </c>
      <c r="H51" s="5" t="n">
        <v>47250</v>
      </c>
      <c r="I51" s="6" t="n">
        <v>0</v>
      </c>
      <c r="J51" s="5" t="n">
        <v>283500</v>
      </c>
      <c r="K51" s="5" t="n">
        <v>204120</v>
      </c>
      <c r="L51" s="5" t="n">
        <v>79380</v>
      </c>
      <c r="M51" s="7">
        <f>L51/J51</f>
        <v/>
      </c>
    </row>
    <row r="52" ht="15.75" customHeight="1" s="19">
      <c r="A52" s="2" t="n">
        <v>51</v>
      </c>
      <c r="B52" s="4" t="n">
        <v>46157</v>
      </c>
      <c r="C52" s="2" t="inlineStr">
        <is>
          <t>Office Chair</t>
        </is>
      </c>
      <c r="D52" s="2" t="inlineStr">
        <is>
          <t>Furniture</t>
        </is>
      </c>
      <c r="E52" s="2" t="inlineStr">
        <is>
          <t>Lagos</t>
        </is>
      </c>
      <c r="F52" s="2" t="inlineStr">
        <is>
          <t>Michael</t>
        </is>
      </c>
      <c r="G52" s="2" t="n">
        <v>9</v>
      </c>
      <c r="H52" s="5" t="n">
        <v>171000</v>
      </c>
      <c r="I52" s="6" t="n">
        <v>0.05</v>
      </c>
      <c r="J52" s="5" t="n">
        <v>1462050</v>
      </c>
      <c r="K52" s="5" t="n">
        <v>1108080</v>
      </c>
      <c r="L52" s="5" t="n">
        <v>353970</v>
      </c>
      <c r="M52" s="7">
        <f>L52/J52</f>
        <v/>
      </c>
    </row>
    <row r="53" ht="15.75" customHeight="1" s="19">
      <c r="A53" s="2" t="n">
        <v>52</v>
      </c>
      <c r="B53" s="4" t="n">
        <v>46166</v>
      </c>
      <c r="C53" s="2" t="inlineStr">
        <is>
          <t>Monitor</t>
        </is>
      </c>
      <c r="D53" s="2" t="inlineStr">
        <is>
          <t>Electronics</t>
        </is>
      </c>
      <c r="E53" s="2" t="inlineStr">
        <is>
          <t>Port Harcourt</t>
        </is>
      </c>
      <c r="F53" s="2" t="inlineStr">
        <is>
          <t>Grace</t>
        </is>
      </c>
      <c r="G53" s="2" t="n">
        <v>4</v>
      </c>
      <c r="H53" s="5" t="n">
        <v>152000</v>
      </c>
      <c r="I53" s="6" t="n">
        <v>0.05</v>
      </c>
      <c r="J53" s="5" t="n">
        <v>577600</v>
      </c>
      <c r="K53" s="5" t="n">
        <v>437760</v>
      </c>
      <c r="L53" s="5" t="n">
        <v>139840</v>
      </c>
      <c r="M53" s="7">
        <f>L53/J53</f>
        <v/>
      </c>
    </row>
    <row r="54" ht="15.75" customHeight="1" s="19">
      <c r="A54" s="2" t="n">
        <v>53</v>
      </c>
      <c r="B54" s="4" t="n">
        <v>46108</v>
      </c>
      <c r="C54" s="2" t="inlineStr">
        <is>
          <t>Keyboard</t>
        </is>
      </c>
      <c r="D54" s="2" t="inlineStr">
        <is>
          <t>Electronics</t>
        </is>
      </c>
      <c r="E54" s="2" t="inlineStr">
        <is>
          <t>Ibadan</t>
        </is>
      </c>
      <c r="F54" s="2" t="inlineStr">
        <is>
          <t>Aisha</t>
        </is>
      </c>
      <c r="G54" s="2" t="n">
        <v>2</v>
      </c>
      <c r="H54" s="5" t="n">
        <v>30000</v>
      </c>
      <c r="I54" s="6" t="n">
        <v>0.1</v>
      </c>
      <c r="J54" s="5" t="n">
        <v>54000</v>
      </c>
      <c r="K54" s="5" t="n">
        <v>43200</v>
      </c>
      <c r="L54" s="5" t="n">
        <v>10800</v>
      </c>
      <c r="M54" s="7">
        <f>L54/J54</f>
        <v/>
      </c>
    </row>
    <row r="55" ht="15.75" customHeight="1" s="19">
      <c r="A55" s="2" t="n">
        <v>54</v>
      </c>
      <c r="B55" s="4" t="n">
        <v>46108</v>
      </c>
      <c r="C55" s="2" t="inlineStr">
        <is>
          <t>Office Chair</t>
        </is>
      </c>
      <c r="D55" s="2" t="inlineStr">
        <is>
          <t>Furniture</t>
        </is>
      </c>
      <c r="E55" s="2" t="inlineStr">
        <is>
          <t>Lagos</t>
        </is>
      </c>
      <c r="F55" s="2" t="inlineStr">
        <is>
          <t>Michael</t>
        </is>
      </c>
      <c r="G55" s="2" t="n">
        <v>6</v>
      </c>
      <c r="H55" s="5" t="n">
        <v>180000</v>
      </c>
      <c r="I55" s="6" t="n">
        <v>0.05</v>
      </c>
      <c r="J55" s="5" t="n">
        <v>1026000</v>
      </c>
      <c r="K55" s="5" t="n">
        <v>777600</v>
      </c>
      <c r="L55" s="5" t="n">
        <v>248400</v>
      </c>
      <c r="M55" s="7">
        <f>L55/J55</f>
        <v/>
      </c>
    </row>
    <row r="56" ht="15.75" customHeight="1" s="19">
      <c r="A56" s="2" t="n">
        <v>55</v>
      </c>
      <c r="B56" s="4" t="n">
        <v>46123</v>
      </c>
      <c r="C56" s="2" t="inlineStr">
        <is>
          <t>Office Chair</t>
        </is>
      </c>
      <c r="D56" s="2" t="inlineStr">
        <is>
          <t>Furniture</t>
        </is>
      </c>
      <c r="E56" s="2" t="inlineStr">
        <is>
          <t>Lagos</t>
        </is>
      </c>
      <c r="F56" s="2" t="inlineStr">
        <is>
          <t>Tunde</t>
        </is>
      </c>
      <c r="G56" s="2" t="n">
        <v>6</v>
      </c>
      <c r="H56" s="5" t="n">
        <v>189000</v>
      </c>
      <c r="I56" s="6" t="n">
        <v>0.05</v>
      </c>
      <c r="J56" s="5" t="n">
        <v>1077300</v>
      </c>
      <c r="K56" s="5" t="n">
        <v>816480</v>
      </c>
      <c r="L56" s="5" t="n">
        <v>260820</v>
      </c>
      <c r="M56" s="7">
        <f>L56/J56</f>
        <v/>
      </c>
    </row>
    <row r="57" ht="15.75" customHeight="1" s="19">
      <c r="A57" s="2" t="n">
        <v>56</v>
      </c>
      <c r="B57" s="4" t="n">
        <v>46131</v>
      </c>
      <c r="C57" s="2" t="inlineStr">
        <is>
          <t>Keyboard</t>
        </is>
      </c>
      <c r="D57" s="2" t="inlineStr">
        <is>
          <t>Electronics</t>
        </is>
      </c>
      <c r="E57" s="2" t="inlineStr">
        <is>
          <t>Port Harcourt</t>
        </is>
      </c>
      <c r="F57" s="2" t="inlineStr">
        <is>
          <t>Grace</t>
        </is>
      </c>
      <c r="G57" s="2" t="n">
        <v>5</v>
      </c>
      <c r="H57" s="5" t="n">
        <v>31500</v>
      </c>
      <c r="I57" s="6" t="n">
        <v>0.05</v>
      </c>
      <c r="J57" s="5" t="n">
        <v>149625</v>
      </c>
      <c r="K57" s="5" t="n">
        <v>113400</v>
      </c>
      <c r="L57" s="5" t="n">
        <v>36225</v>
      </c>
      <c r="M57" s="7">
        <f>L57/J57</f>
        <v/>
      </c>
    </row>
    <row r="58" ht="15.75" customHeight="1" s="19">
      <c r="A58" s="2" t="n">
        <v>57</v>
      </c>
      <c r="B58" s="4" t="n">
        <v>46169</v>
      </c>
      <c r="C58" s="2" t="inlineStr">
        <is>
          <t>Keyboard</t>
        </is>
      </c>
      <c r="D58" s="2" t="inlineStr">
        <is>
          <t>Electronics</t>
        </is>
      </c>
      <c r="E58" s="2" t="inlineStr">
        <is>
          <t>Lagos</t>
        </is>
      </c>
      <c r="F58" s="2" t="inlineStr">
        <is>
          <t>Grace</t>
        </is>
      </c>
      <c r="G58" s="2" t="n">
        <v>2</v>
      </c>
      <c r="H58" s="5" t="n">
        <v>30000</v>
      </c>
      <c r="I58" s="6" t="n">
        <v>0.05</v>
      </c>
      <c r="J58" s="5" t="n">
        <v>57000</v>
      </c>
      <c r="K58" s="5" t="n">
        <v>43200</v>
      </c>
      <c r="L58" s="5" t="n">
        <v>13800</v>
      </c>
      <c r="M58" s="7">
        <f>L58/J58</f>
        <v/>
      </c>
    </row>
    <row r="59" ht="15.75" customHeight="1" s="19">
      <c r="A59" s="2" t="n">
        <v>58</v>
      </c>
      <c r="B59" s="4" t="n">
        <v>46139</v>
      </c>
      <c r="C59" s="2" t="inlineStr">
        <is>
          <t>Keyboard</t>
        </is>
      </c>
      <c r="D59" s="2" t="inlineStr">
        <is>
          <t>Electronics</t>
        </is>
      </c>
      <c r="E59" s="2" t="inlineStr">
        <is>
          <t>Lagos</t>
        </is>
      </c>
      <c r="F59" s="2" t="inlineStr">
        <is>
          <t>Michael</t>
        </is>
      </c>
      <c r="G59" s="2" t="n">
        <v>10</v>
      </c>
      <c r="H59" s="5" t="n">
        <v>31500</v>
      </c>
      <c r="I59" s="6" t="n">
        <v>0.05</v>
      </c>
      <c r="J59" s="5" t="n">
        <v>299250</v>
      </c>
      <c r="K59" s="5" t="n">
        <v>226800</v>
      </c>
      <c r="L59" s="5" t="n">
        <v>72450</v>
      </c>
      <c r="M59" s="7">
        <f>L59/J59</f>
        <v/>
      </c>
    </row>
    <row r="60" ht="15.75" customHeight="1" s="19">
      <c r="A60" s="2" t="n">
        <v>59</v>
      </c>
      <c r="B60" s="4" t="n">
        <v>46023</v>
      </c>
      <c r="C60" s="2" t="inlineStr">
        <is>
          <t>Monitor</t>
        </is>
      </c>
      <c r="D60" s="2" t="inlineStr">
        <is>
          <t>Electronics</t>
        </is>
      </c>
      <c r="E60" s="2" t="inlineStr">
        <is>
          <t>Abuja</t>
        </is>
      </c>
      <c r="F60" s="2" t="inlineStr">
        <is>
          <t>Aisha</t>
        </is>
      </c>
      <c r="G60" s="2" t="n">
        <v>1</v>
      </c>
      <c r="H60" s="5" t="n">
        <v>160000</v>
      </c>
      <c r="I60" s="6" t="n">
        <v>0.05</v>
      </c>
      <c r="J60" s="5" t="n">
        <v>152000</v>
      </c>
      <c r="K60" s="5" t="n">
        <v>115200</v>
      </c>
      <c r="L60" s="5" t="n">
        <v>36800</v>
      </c>
      <c r="M60" s="7">
        <f>L60/J60</f>
        <v/>
      </c>
    </row>
    <row r="61" ht="15.75" customHeight="1" s="19">
      <c r="A61" s="2" t="n">
        <v>60</v>
      </c>
      <c r="B61" s="4" t="n">
        <v>46091</v>
      </c>
      <c r="C61" s="2" t="inlineStr">
        <is>
          <t>Monitor</t>
        </is>
      </c>
      <c r="D61" s="2" t="inlineStr">
        <is>
          <t>Electronics</t>
        </is>
      </c>
      <c r="E61" s="2" t="inlineStr">
        <is>
          <t>Kano</t>
        </is>
      </c>
      <c r="F61" s="2" t="inlineStr">
        <is>
          <t>Grace</t>
        </is>
      </c>
      <c r="G61" s="2" t="n">
        <v>5</v>
      </c>
      <c r="H61" s="5" t="n">
        <v>152000</v>
      </c>
      <c r="I61" s="6" t="n">
        <v>0</v>
      </c>
      <c r="J61" s="5" t="n">
        <v>760000</v>
      </c>
      <c r="K61" s="5" t="n">
        <v>547200</v>
      </c>
      <c r="L61" s="5" t="n">
        <v>212800</v>
      </c>
      <c r="M61" s="7">
        <f>L61/J61</f>
        <v/>
      </c>
    </row>
    <row r="62" ht="15.75" customHeight="1" s="19">
      <c r="A62" s="2" t="n">
        <v>61</v>
      </c>
      <c r="B62" s="4" t="n">
        <v>46108</v>
      </c>
      <c r="C62" s="2" t="inlineStr">
        <is>
          <t>Keyboard</t>
        </is>
      </c>
      <c r="D62" s="2" t="inlineStr">
        <is>
          <t>Electronics</t>
        </is>
      </c>
      <c r="E62" s="2" t="inlineStr">
        <is>
          <t>Lagos</t>
        </is>
      </c>
      <c r="F62" s="2" t="inlineStr">
        <is>
          <t>Tunde</t>
        </is>
      </c>
      <c r="G62" s="2" t="n">
        <v>10</v>
      </c>
      <c r="H62" s="5" t="n">
        <v>31500</v>
      </c>
      <c r="I62" s="6" t="n">
        <v>0</v>
      </c>
      <c r="J62" s="5" t="n">
        <v>315000</v>
      </c>
      <c r="K62" s="5" t="n">
        <v>226800</v>
      </c>
      <c r="L62" s="5" t="n">
        <v>88200</v>
      </c>
      <c r="M62" s="7">
        <f>L62/J62</f>
        <v/>
      </c>
    </row>
    <row r="63" ht="15.75" customHeight="1" s="19">
      <c r="A63" s="2" t="n">
        <v>62</v>
      </c>
      <c r="B63" s="4" t="n">
        <v>46116</v>
      </c>
      <c r="C63" s="2" t="inlineStr">
        <is>
          <t>Printer</t>
        </is>
      </c>
      <c r="D63" s="2" t="inlineStr">
        <is>
          <t>Electronics</t>
        </is>
      </c>
      <c r="E63" s="2" t="inlineStr">
        <is>
          <t>Port Harcourt</t>
        </is>
      </c>
      <c r="F63" s="2" t="inlineStr">
        <is>
          <t>Tunde</t>
        </is>
      </c>
      <c r="G63" s="2" t="n">
        <v>5</v>
      </c>
      <c r="H63" s="5" t="n">
        <v>126000</v>
      </c>
      <c r="I63" s="6" t="n">
        <v>0</v>
      </c>
      <c r="J63" s="5" t="n">
        <v>630000</v>
      </c>
      <c r="K63" s="5" t="n">
        <v>453600</v>
      </c>
      <c r="L63" s="5" t="n">
        <v>176400</v>
      </c>
      <c r="M63" s="7">
        <f>L63/J63</f>
        <v/>
      </c>
    </row>
    <row r="64" ht="15.75" customHeight="1" s="19">
      <c r="A64" s="2" t="n">
        <v>63</v>
      </c>
      <c r="B64" s="4" t="n">
        <v>46061</v>
      </c>
      <c r="C64" s="2" t="inlineStr">
        <is>
          <t>Keyboard</t>
        </is>
      </c>
      <c r="D64" s="2" t="inlineStr">
        <is>
          <t>Electronics</t>
        </is>
      </c>
      <c r="E64" s="2" t="inlineStr">
        <is>
          <t>Port Harcourt</t>
        </is>
      </c>
      <c r="F64" s="2" t="inlineStr">
        <is>
          <t>Aisha</t>
        </is>
      </c>
      <c r="G64" s="2" t="n">
        <v>10</v>
      </c>
      <c r="H64" s="5" t="n">
        <v>30000</v>
      </c>
      <c r="I64" s="6" t="n">
        <v>0</v>
      </c>
      <c r="J64" s="5" t="n">
        <v>300000</v>
      </c>
      <c r="K64" s="5" t="n">
        <v>216000</v>
      </c>
      <c r="L64" s="5" t="n">
        <v>84000</v>
      </c>
      <c r="M64" s="7">
        <f>L64/J64</f>
        <v/>
      </c>
    </row>
    <row r="65" ht="15.75" customHeight="1" s="19">
      <c r="A65" s="2" t="n">
        <v>64</v>
      </c>
      <c r="B65" s="4" t="n">
        <v>46032</v>
      </c>
      <c r="C65" s="2" t="inlineStr">
        <is>
          <t>Printer</t>
        </is>
      </c>
      <c r="D65" s="2" t="inlineStr">
        <is>
          <t>Electronics</t>
        </is>
      </c>
      <c r="E65" s="2" t="inlineStr">
        <is>
          <t>Kano</t>
        </is>
      </c>
      <c r="F65" s="2" t="inlineStr">
        <is>
          <t>Michael</t>
        </is>
      </c>
      <c r="G65" s="2" t="n">
        <v>5</v>
      </c>
      <c r="H65" s="5" t="n">
        <v>126000</v>
      </c>
      <c r="I65" s="6" t="n">
        <v>0.05</v>
      </c>
      <c r="J65" s="5" t="n">
        <v>598500</v>
      </c>
      <c r="K65" s="5" t="n">
        <v>453600</v>
      </c>
      <c r="L65" s="5" t="n">
        <v>144900</v>
      </c>
      <c r="M65" s="7">
        <f>L65/J65</f>
        <v/>
      </c>
    </row>
    <row r="66" ht="15.75" customHeight="1" s="19">
      <c r="A66" s="2" t="n">
        <v>65</v>
      </c>
      <c r="B66" s="4" t="n">
        <v>46169</v>
      </c>
      <c r="C66" s="2" t="inlineStr">
        <is>
          <t>Office Chair</t>
        </is>
      </c>
      <c r="D66" s="2" t="inlineStr">
        <is>
          <t>Furniture</t>
        </is>
      </c>
      <c r="E66" s="2" t="inlineStr">
        <is>
          <t>Abuja</t>
        </is>
      </c>
      <c r="F66" s="2" t="inlineStr">
        <is>
          <t>Aisha</t>
        </is>
      </c>
      <c r="G66" s="2" t="n">
        <v>4</v>
      </c>
      <c r="H66" s="5" t="n">
        <v>189000</v>
      </c>
      <c r="I66" s="6" t="n">
        <v>0.05</v>
      </c>
      <c r="J66" s="5" t="n">
        <v>718200</v>
      </c>
      <c r="K66" s="5" t="n">
        <v>544320</v>
      </c>
      <c r="L66" s="5" t="n">
        <v>173880</v>
      </c>
      <c r="M66" s="7">
        <f>L66/J66</f>
        <v/>
      </c>
    </row>
    <row r="67" ht="15.75" customHeight="1" s="19">
      <c r="A67" s="2" t="n">
        <v>66</v>
      </c>
      <c r="B67" s="4" t="n">
        <v>46150</v>
      </c>
      <c r="C67" s="2" t="inlineStr">
        <is>
          <t>Monitor</t>
        </is>
      </c>
      <c r="D67" s="2" t="inlineStr">
        <is>
          <t>Electronics</t>
        </is>
      </c>
      <c r="E67" s="2" t="inlineStr">
        <is>
          <t>Ibadan</t>
        </is>
      </c>
      <c r="F67" s="2" t="inlineStr">
        <is>
          <t>Michael</t>
        </is>
      </c>
      <c r="G67" s="2" t="n">
        <v>4</v>
      </c>
      <c r="H67" s="5" t="n">
        <v>168000</v>
      </c>
      <c r="I67" s="6" t="n">
        <v>0.05</v>
      </c>
      <c r="J67" s="5" t="n">
        <v>638400</v>
      </c>
      <c r="K67" s="5" t="n">
        <v>483840</v>
      </c>
      <c r="L67" s="5" t="n">
        <v>154560</v>
      </c>
      <c r="M67" s="7">
        <f>L67/J67</f>
        <v/>
      </c>
    </row>
    <row r="68" ht="15.75" customHeight="1" s="19">
      <c r="A68" s="2" t="n">
        <v>67</v>
      </c>
      <c r="B68" s="4" t="n">
        <v>46183</v>
      </c>
      <c r="C68" s="2" t="inlineStr">
        <is>
          <t>Keyboard</t>
        </is>
      </c>
      <c r="D68" s="2" t="inlineStr">
        <is>
          <t>Electronics</t>
        </is>
      </c>
      <c r="E68" s="2" t="inlineStr">
        <is>
          <t>Kano</t>
        </is>
      </c>
      <c r="F68" s="2" t="inlineStr">
        <is>
          <t>Grace</t>
        </is>
      </c>
      <c r="G68" s="2" t="n">
        <v>2</v>
      </c>
      <c r="H68" s="5" t="n">
        <v>31500</v>
      </c>
      <c r="I68" s="6" t="n">
        <v>0</v>
      </c>
      <c r="J68" s="5" t="n">
        <v>63000</v>
      </c>
      <c r="K68" s="5" t="n">
        <v>45360</v>
      </c>
      <c r="L68" s="5" t="n">
        <v>17640</v>
      </c>
      <c r="M68" s="7">
        <f>L68/J68</f>
        <v/>
      </c>
    </row>
    <row r="69" ht="15.75" customHeight="1" s="19">
      <c r="A69" s="2" t="n">
        <v>68</v>
      </c>
      <c r="B69" s="4" t="n">
        <v>46183</v>
      </c>
      <c r="C69" s="2" t="inlineStr">
        <is>
          <t>Headset</t>
        </is>
      </c>
      <c r="D69" s="2" t="inlineStr">
        <is>
          <t>Electronics</t>
        </is>
      </c>
      <c r="E69" s="2" t="inlineStr">
        <is>
          <t>Abuja</t>
        </is>
      </c>
      <c r="F69" s="2" t="inlineStr">
        <is>
          <t>Grace</t>
        </is>
      </c>
      <c r="G69" s="2" t="n">
        <v>5</v>
      </c>
      <c r="H69" s="5" t="n">
        <v>47250</v>
      </c>
      <c r="I69" s="6" t="n">
        <v>0</v>
      </c>
      <c r="J69" s="5" t="n">
        <v>236250</v>
      </c>
      <c r="K69" s="5" t="n">
        <v>170100</v>
      </c>
      <c r="L69" s="5" t="n">
        <v>66150</v>
      </c>
      <c r="M69" s="7">
        <f>L69/J69</f>
        <v/>
      </c>
    </row>
    <row r="70" ht="15.75" customHeight="1" s="19">
      <c r="A70" s="2" t="n">
        <v>69</v>
      </c>
      <c r="B70" s="4" t="n">
        <v>46057</v>
      </c>
      <c r="C70" s="2" t="inlineStr">
        <is>
          <t>Keyboard</t>
        </is>
      </c>
      <c r="D70" s="2" t="inlineStr">
        <is>
          <t>Electronics</t>
        </is>
      </c>
      <c r="E70" s="2" t="inlineStr">
        <is>
          <t>Lagos</t>
        </is>
      </c>
      <c r="F70" s="2" t="inlineStr">
        <is>
          <t>David</t>
        </is>
      </c>
      <c r="G70" s="2" t="n">
        <v>2</v>
      </c>
      <c r="H70" s="5" t="n">
        <v>28500</v>
      </c>
      <c r="I70" s="6" t="n">
        <v>0.1</v>
      </c>
      <c r="J70" s="5" t="n">
        <v>51300</v>
      </c>
      <c r="K70" s="5" t="n">
        <v>41040</v>
      </c>
      <c r="L70" s="5" t="n">
        <v>10260</v>
      </c>
      <c r="M70" s="7">
        <f>L70/J70</f>
        <v/>
      </c>
    </row>
    <row r="71" ht="15.75" customHeight="1" s="19">
      <c r="A71" s="2" t="n">
        <v>70</v>
      </c>
      <c r="B71" s="4" t="n">
        <v>46184</v>
      </c>
      <c r="C71" s="2" t="inlineStr">
        <is>
          <t>Monitor</t>
        </is>
      </c>
      <c r="D71" s="2" t="inlineStr">
        <is>
          <t>Electronics</t>
        </is>
      </c>
      <c r="E71" s="2" t="inlineStr">
        <is>
          <t>Ibadan</t>
        </is>
      </c>
      <c r="F71" s="2" t="inlineStr">
        <is>
          <t>Aisha</t>
        </is>
      </c>
      <c r="G71" s="2" t="n">
        <v>10</v>
      </c>
      <c r="H71" s="5" t="n">
        <v>160000</v>
      </c>
      <c r="I71" s="6" t="n">
        <v>0.05</v>
      </c>
      <c r="J71" s="5" t="n">
        <v>1520000</v>
      </c>
      <c r="K71" s="5" t="n">
        <v>1152000</v>
      </c>
      <c r="L71" s="5" t="n">
        <v>368000</v>
      </c>
      <c r="M71" s="7">
        <f>L71/J71</f>
        <v/>
      </c>
    </row>
    <row r="72" ht="15.75" customHeight="1" s="19">
      <c r="A72" s="2" t="n">
        <v>71</v>
      </c>
      <c r="B72" s="4" t="n">
        <v>46097</v>
      </c>
      <c r="C72" s="2" t="inlineStr">
        <is>
          <t>Keyboard</t>
        </is>
      </c>
      <c r="D72" s="2" t="inlineStr">
        <is>
          <t>Electronics</t>
        </is>
      </c>
      <c r="E72" s="2" t="inlineStr">
        <is>
          <t>Kano</t>
        </is>
      </c>
      <c r="F72" s="2" t="inlineStr">
        <is>
          <t>Michael</t>
        </is>
      </c>
      <c r="G72" s="2" t="n">
        <v>10</v>
      </c>
      <c r="H72" s="5" t="n">
        <v>28500</v>
      </c>
      <c r="I72" s="6" t="n">
        <v>0.05</v>
      </c>
      <c r="J72" s="5" t="n">
        <v>270750</v>
      </c>
      <c r="K72" s="5" t="n">
        <v>205200</v>
      </c>
      <c r="L72" s="5" t="n">
        <v>65550</v>
      </c>
      <c r="M72" s="7">
        <f>L72/J72</f>
        <v/>
      </c>
    </row>
    <row r="73" ht="15.75" customHeight="1" s="19">
      <c r="A73" s="2" t="n">
        <v>72</v>
      </c>
      <c r="B73" s="4" t="n">
        <v>46186</v>
      </c>
      <c r="C73" s="2" t="inlineStr">
        <is>
          <t>Laptop</t>
        </is>
      </c>
      <c r="D73" s="2" t="inlineStr">
        <is>
          <t>Electronics</t>
        </is>
      </c>
      <c r="E73" s="2" t="inlineStr">
        <is>
          <t>Abuja</t>
        </is>
      </c>
      <c r="F73" s="2" t="inlineStr">
        <is>
          <t>Tunde</t>
        </is>
      </c>
      <c r="G73" s="2" t="n">
        <v>5</v>
      </c>
      <c r="H73" s="5" t="n">
        <v>427500</v>
      </c>
      <c r="I73" s="6" t="n">
        <v>0</v>
      </c>
      <c r="J73" s="5" t="n">
        <v>2137500</v>
      </c>
      <c r="K73" s="5" t="n">
        <v>1539000</v>
      </c>
      <c r="L73" s="5" t="n">
        <v>598500</v>
      </c>
      <c r="M73" s="7">
        <f>L73/J73</f>
        <v/>
      </c>
    </row>
    <row r="74" ht="15.75" customHeight="1" s="19">
      <c r="A74" s="2" t="n">
        <v>73</v>
      </c>
      <c r="B74" s="4" t="n">
        <v>46121</v>
      </c>
      <c r="C74" s="2" t="inlineStr">
        <is>
          <t>Laptop</t>
        </is>
      </c>
      <c r="D74" s="2" t="inlineStr">
        <is>
          <t>Electronics</t>
        </is>
      </c>
      <c r="E74" s="2" t="inlineStr">
        <is>
          <t>Port Harcourt</t>
        </is>
      </c>
      <c r="F74" s="2" t="inlineStr">
        <is>
          <t>David</t>
        </is>
      </c>
      <c r="G74" s="2" t="n">
        <v>8</v>
      </c>
      <c r="H74" s="5" t="n">
        <v>472500</v>
      </c>
      <c r="I74" s="6" t="n">
        <v>0</v>
      </c>
      <c r="J74" s="5" t="n">
        <v>3780000</v>
      </c>
      <c r="K74" s="5" t="n">
        <v>2721600</v>
      </c>
      <c r="L74" s="5" t="n">
        <v>1058400</v>
      </c>
      <c r="M74" s="7">
        <f>L74/J74</f>
        <v/>
      </c>
    </row>
    <row r="75" ht="15.75" customHeight="1" s="19">
      <c r="A75" s="2" t="n">
        <v>74</v>
      </c>
      <c r="B75" s="4" t="n">
        <v>46059</v>
      </c>
      <c r="C75" s="2" t="inlineStr">
        <is>
          <t>Laptop</t>
        </is>
      </c>
      <c r="D75" s="2" t="inlineStr">
        <is>
          <t>Electronics</t>
        </is>
      </c>
      <c r="E75" s="2" t="inlineStr">
        <is>
          <t>Port Harcourt</t>
        </is>
      </c>
      <c r="F75" s="2" t="inlineStr">
        <is>
          <t>Aisha</t>
        </is>
      </c>
      <c r="G75" s="2" t="n">
        <v>7</v>
      </c>
      <c r="H75" s="5" t="n">
        <v>472500</v>
      </c>
      <c r="I75" s="6" t="n">
        <v>0.05</v>
      </c>
      <c r="J75" s="5" t="n">
        <v>3142125</v>
      </c>
      <c r="K75" s="5" t="n">
        <v>2381400</v>
      </c>
      <c r="L75" s="5" t="n">
        <v>760725</v>
      </c>
      <c r="M75" s="7">
        <f>L75/J75</f>
        <v/>
      </c>
    </row>
    <row r="76" ht="15.75" customHeight="1" s="19">
      <c r="A76" s="2" t="n">
        <v>75</v>
      </c>
      <c r="B76" s="4" t="n">
        <v>46127</v>
      </c>
      <c r="C76" s="2" t="inlineStr">
        <is>
          <t>Monitor</t>
        </is>
      </c>
      <c r="D76" s="2" t="inlineStr">
        <is>
          <t>Electronics</t>
        </is>
      </c>
      <c r="E76" s="2" t="inlineStr">
        <is>
          <t>Lagos</t>
        </is>
      </c>
      <c r="F76" s="2" t="inlineStr">
        <is>
          <t>Aisha</t>
        </is>
      </c>
      <c r="G76" s="2" t="n">
        <v>7</v>
      </c>
      <c r="H76" s="5" t="n">
        <v>152000</v>
      </c>
      <c r="I76" s="6" t="n">
        <v>0.1</v>
      </c>
      <c r="J76" s="5" t="n">
        <v>957600</v>
      </c>
      <c r="K76" s="5" t="n">
        <v>766080</v>
      </c>
      <c r="L76" s="5" t="n">
        <v>191520</v>
      </c>
      <c r="M76" s="7">
        <f>L76/J76</f>
        <v/>
      </c>
    </row>
    <row r="77" ht="15.75" customHeight="1" s="19">
      <c r="A77" s="2" t="n">
        <v>76</v>
      </c>
      <c r="B77" s="4" t="n">
        <v>46163</v>
      </c>
      <c r="C77" s="2" t="inlineStr">
        <is>
          <t>Printer</t>
        </is>
      </c>
      <c r="D77" s="2" t="inlineStr">
        <is>
          <t>Electronics</t>
        </is>
      </c>
      <c r="E77" s="2" t="inlineStr">
        <is>
          <t>Ibadan</t>
        </is>
      </c>
      <c r="F77" s="2" t="inlineStr">
        <is>
          <t>Grace</t>
        </is>
      </c>
      <c r="G77" s="2" t="n">
        <v>4</v>
      </c>
      <c r="H77" s="5" t="n">
        <v>114000</v>
      </c>
      <c r="I77" s="6" t="n">
        <v>0.05</v>
      </c>
      <c r="J77" s="5" t="n">
        <v>433200</v>
      </c>
      <c r="K77" s="5" t="n">
        <v>328320</v>
      </c>
      <c r="L77" s="5" t="n">
        <v>104880</v>
      </c>
      <c r="M77" s="7">
        <f>L77/J77</f>
        <v/>
      </c>
    </row>
    <row r="78" ht="15.75" customHeight="1" s="19">
      <c r="A78" s="2" t="n">
        <v>77</v>
      </c>
      <c r="B78" s="4" t="n">
        <v>46169</v>
      </c>
      <c r="C78" s="2" t="inlineStr">
        <is>
          <t>Laptop</t>
        </is>
      </c>
      <c r="D78" s="2" t="inlineStr">
        <is>
          <t>Electronics</t>
        </is>
      </c>
      <c r="E78" s="2" t="inlineStr">
        <is>
          <t>Port Harcourt</t>
        </is>
      </c>
      <c r="F78" s="2" t="inlineStr">
        <is>
          <t>Aisha</t>
        </is>
      </c>
      <c r="G78" s="2" t="n">
        <v>4</v>
      </c>
      <c r="H78" s="5" t="n">
        <v>427500</v>
      </c>
      <c r="I78" s="6" t="n">
        <v>0</v>
      </c>
      <c r="J78" s="5" t="n">
        <v>1710000</v>
      </c>
      <c r="K78" s="5" t="n">
        <v>1231200</v>
      </c>
      <c r="L78" s="5" t="n">
        <v>478800</v>
      </c>
      <c r="M78" s="7">
        <f>L78/J78</f>
        <v/>
      </c>
    </row>
    <row r="79" ht="15.75" customHeight="1" s="19">
      <c r="A79" s="2" t="n">
        <v>78</v>
      </c>
      <c r="B79" s="4" t="n">
        <v>46133</v>
      </c>
      <c r="C79" s="2" t="inlineStr">
        <is>
          <t>Keyboard</t>
        </is>
      </c>
      <c r="D79" s="2" t="inlineStr">
        <is>
          <t>Electronics</t>
        </is>
      </c>
      <c r="E79" s="2" t="inlineStr">
        <is>
          <t>Kano</t>
        </is>
      </c>
      <c r="F79" s="2" t="inlineStr">
        <is>
          <t>Tunde</t>
        </is>
      </c>
      <c r="G79" s="2" t="n">
        <v>4</v>
      </c>
      <c r="H79" s="5" t="n">
        <v>31500</v>
      </c>
      <c r="I79" s="6" t="n">
        <v>0.05</v>
      </c>
      <c r="J79" s="5" t="n">
        <v>119700</v>
      </c>
      <c r="K79" s="5" t="n">
        <v>90720</v>
      </c>
      <c r="L79" s="5" t="n">
        <v>28980</v>
      </c>
      <c r="M79" s="7">
        <f>L79/J79</f>
        <v/>
      </c>
    </row>
    <row r="80" ht="15.75" customHeight="1" s="19">
      <c r="A80" s="2" t="n">
        <v>79</v>
      </c>
      <c r="B80" s="4" t="n">
        <v>46075</v>
      </c>
      <c r="C80" s="2" t="inlineStr">
        <is>
          <t>Headset</t>
        </is>
      </c>
      <c r="D80" s="2" t="inlineStr">
        <is>
          <t>Electronics</t>
        </is>
      </c>
      <c r="E80" s="2" t="inlineStr">
        <is>
          <t>Lagos</t>
        </is>
      </c>
      <c r="F80" s="2" t="inlineStr">
        <is>
          <t>Tunde</t>
        </is>
      </c>
      <c r="G80" s="2" t="n">
        <v>9</v>
      </c>
      <c r="H80" s="5" t="n">
        <v>47250</v>
      </c>
      <c r="I80" s="6" t="n">
        <v>0</v>
      </c>
      <c r="J80" s="5" t="n">
        <v>425250</v>
      </c>
      <c r="K80" s="5" t="n">
        <v>306180</v>
      </c>
      <c r="L80" s="5" t="n">
        <v>119070</v>
      </c>
      <c r="M80" s="7">
        <f>L80/J80</f>
        <v/>
      </c>
    </row>
    <row r="81" ht="15.75" customHeight="1" s="19">
      <c r="A81" s="2" t="n">
        <v>80</v>
      </c>
      <c r="B81" s="4" t="n">
        <v>46164</v>
      </c>
      <c r="C81" s="2" t="inlineStr">
        <is>
          <t>Monitor</t>
        </is>
      </c>
      <c r="D81" s="2" t="inlineStr">
        <is>
          <t>Electronics</t>
        </is>
      </c>
      <c r="E81" s="2" t="inlineStr">
        <is>
          <t>Abuja</t>
        </is>
      </c>
      <c r="F81" s="2" t="inlineStr">
        <is>
          <t>Tunde</t>
        </is>
      </c>
      <c r="G81" s="2" t="n">
        <v>10</v>
      </c>
      <c r="H81" s="5" t="n">
        <v>160000</v>
      </c>
      <c r="I81" s="6" t="n">
        <v>0.1</v>
      </c>
      <c r="J81" s="5" t="n">
        <v>1440000</v>
      </c>
      <c r="K81" s="5" t="n">
        <v>1152000</v>
      </c>
      <c r="L81" s="5" t="n">
        <v>288000</v>
      </c>
      <c r="M81" s="7">
        <f>L81/J81</f>
        <v/>
      </c>
    </row>
    <row r="82" ht="15.75" customHeight="1" s="19">
      <c r="A82" s="2" t="n">
        <v>81</v>
      </c>
      <c r="B82" s="4" t="n">
        <v>46097</v>
      </c>
      <c r="C82" s="2" t="inlineStr">
        <is>
          <t>Headset</t>
        </is>
      </c>
      <c r="D82" s="2" t="inlineStr">
        <is>
          <t>Electronics</t>
        </is>
      </c>
      <c r="E82" s="2" t="inlineStr">
        <is>
          <t>Abuja</t>
        </is>
      </c>
      <c r="F82" s="2" t="inlineStr">
        <is>
          <t>Michael</t>
        </is>
      </c>
      <c r="G82" s="2" t="n">
        <v>7</v>
      </c>
      <c r="H82" s="5" t="n">
        <v>42750</v>
      </c>
      <c r="I82" s="6" t="n">
        <v>0.1</v>
      </c>
      <c r="J82" s="5" t="n">
        <v>269325</v>
      </c>
      <c r="K82" s="5" t="n">
        <v>215460</v>
      </c>
      <c r="L82" s="5" t="n">
        <v>53865</v>
      </c>
      <c r="M82" s="7">
        <f>L82/J82</f>
        <v/>
      </c>
    </row>
    <row r="83" ht="15.75" customHeight="1" s="19">
      <c r="A83" s="2" t="n">
        <v>82</v>
      </c>
      <c r="B83" s="4" t="n">
        <v>46029</v>
      </c>
      <c r="C83" s="2" t="inlineStr">
        <is>
          <t>Laptop</t>
        </is>
      </c>
      <c r="D83" s="2" t="inlineStr">
        <is>
          <t>Electronics</t>
        </is>
      </c>
      <c r="E83" s="2" t="inlineStr">
        <is>
          <t>Kano</t>
        </is>
      </c>
      <c r="F83" s="2" t="inlineStr">
        <is>
          <t>David</t>
        </is>
      </c>
      <c r="G83" s="2" t="n">
        <v>10</v>
      </c>
      <c r="H83" s="5" t="n">
        <v>450000</v>
      </c>
      <c r="I83" s="6" t="n">
        <v>0</v>
      </c>
      <c r="J83" s="5" t="n">
        <v>4500000</v>
      </c>
      <c r="K83" s="5" t="n">
        <v>3240000</v>
      </c>
      <c r="L83" s="5" t="n">
        <v>1260000</v>
      </c>
      <c r="M83" s="7">
        <f>L83/J83</f>
        <v/>
      </c>
    </row>
    <row r="84" ht="15.75" customHeight="1" s="19">
      <c r="A84" s="2" t="n">
        <v>83</v>
      </c>
      <c r="B84" s="4" t="n">
        <v>46027</v>
      </c>
      <c r="C84" s="2" t="inlineStr">
        <is>
          <t>Laptop</t>
        </is>
      </c>
      <c r="D84" s="2" t="inlineStr">
        <is>
          <t>Electronics</t>
        </is>
      </c>
      <c r="E84" s="2" t="inlineStr">
        <is>
          <t>Kano</t>
        </is>
      </c>
      <c r="F84" s="2" t="inlineStr">
        <is>
          <t>Tunde</t>
        </is>
      </c>
      <c r="G84" s="2" t="n">
        <v>2</v>
      </c>
      <c r="H84" s="5" t="n">
        <v>472500</v>
      </c>
      <c r="I84" s="6" t="n">
        <v>0.05</v>
      </c>
      <c r="J84" s="5" t="n">
        <v>897750</v>
      </c>
      <c r="K84" s="5" t="n">
        <v>680400</v>
      </c>
      <c r="L84" s="5" t="n">
        <v>217350</v>
      </c>
      <c r="M84" s="7">
        <f>L84/J84</f>
        <v/>
      </c>
    </row>
    <row r="85" ht="15.75" customHeight="1" s="19">
      <c r="A85" s="2" t="n">
        <v>84</v>
      </c>
      <c r="B85" s="4" t="n">
        <v>46108</v>
      </c>
      <c r="C85" s="2" t="inlineStr">
        <is>
          <t>Printer</t>
        </is>
      </c>
      <c r="D85" s="2" t="inlineStr">
        <is>
          <t>Electronics</t>
        </is>
      </c>
      <c r="E85" s="2" t="inlineStr">
        <is>
          <t>Port Harcourt</t>
        </is>
      </c>
      <c r="F85" s="2" t="inlineStr">
        <is>
          <t>Aisha</t>
        </is>
      </c>
      <c r="G85" s="2" t="n">
        <v>3</v>
      </c>
      <c r="H85" s="5" t="n">
        <v>114000</v>
      </c>
      <c r="I85" s="6" t="n">
        <v>0</v>
      </c>
      <c r="J85" s="5" t="n">
        <v>342000</v>
      </c>
      <c r="K85" s="5" t="n">
        <v>246240</v>
      </c>
      <c r="L85" s="5" t="n">
        <v>95760</v>
      </c>
      <c r="M85" s="7">
        <f>L85/J85</f>
        <v/>
      </c>
    </row>
    <row r="86" ht="15.75" customHeight="1" s="19">
      <c r="A86" s="2" t="n">
        <v>85</v>
      </c>
      <c r="B86" s="4" t="n">
        <v>46041</v>
      </c>
      <c r="C86" s="2" t="inlineStr">
        <is>
          <t>Laptop</t>
        </is>
      </c>
      <c r="D86" s="2" t="inlineStr">
        <is>
          <t>Electronics</t>
        </is>
      </c>
      <c r="E86" s="2" t="inlineStr">
        <is>
          <t>Kano</t>
        </is>
      </c>
      <c r="F86" s="2" t="inlineStr">
        <is>
          <t>Michael</t>
        </is>
      </c>
      <c r="G86" s="2" t="n">
        <v>4</v>
      </c>
      <c r="H86" s="5" t="n">
        <v>450000</v>
      </c>
      <c r="I86" s="6" t="n">
        <v>0.1</v>
      </c>
      <c r="J86" s="5" t="n">
        <v>1620000</v>
      </c>
      <c r="K86" s="5" t="n">
        <v>1296000</v>
      </c>
      <c r="L86" s="5" t="n">
        <v>324000</v>
      </c>
      <c r="M86" s="7">
        <f>L86/J86</f>
        <v/>
      </c>
    </row>
    <row r="87" ht="15.75" customHeight="1" s="19">
      <c r="A87" s="2" t="n">
        <v>86</v>
      </c>
      <c r="B87" s="4" t="n">
        <v>46112</v>
      </c>
      <c r="C87" s="2" t="inlineStr">
        <is>
          <t>Printer</t>
        </is>
      </c>
      <c r="D87" s="2" t="inlineStr">
        <is>
          <t>Electronics</t>
        </is>
      </c>
      <c r="E87" s="2" t="inlineStr">
        <is>
          <t>Ibadan</t>
        </is>
      </c>
      <c r="F87" s="2" t="inlineStr">
        <is>
          <t>Grace</t>
        </is>
      </c>
      <c r="G87" s="2" t="n">
        <v>7</v>
      </c>
      <c r="H87" s="5" t="n">
        <v>126000</v>
      </c>
      <c r="I87" s="6" t="n">
        <v>0.05</v>
      </c>
      <c r="J87" s="5" t="n">
        <v>837900</v>
      </c>
      <c r="K87" s="5" t="n">
        <v>635040</v>
      </c>
      <c r="L87" s="5" t="n">
        <v>202860</v>
      </c>
      <c r="M87" s="7">
        <f>L87/J87</f>
        <v/>
      </c>
    </row>
    <row r="88" ht="15.75" customHeight="1" s="19">
      <c r="A88" s="2" t="n">
        <v>87</v>
      </c>
      <c r="B88" s="4" t="n">
        <v>46170</v>
      </c>
      <c r="C88" s="2" t="inlineStr">
        <is>
          <t>Monitor</t>
        </is>
      </c>
      <c r="D88" s="2" t="inlineStr">
        <is>
          <t>Electronics</t>
        </is>
      </c>
      <c r="E88" s="2" t="inlineStr">
        <is>
          <t>Port Harcourt</t>
        </is>
      </c>
      <c r="F88" s="2" t="inlineStr">
        <is>
          <t>Tunde</t>
        </is>
      </c>
      <c r="G88" s="2" t="n">
        <v>2</v>
      </c>
      <c r="H88" s="5" t="n">
        <v>160000</v>
      </c>
      <c r="I88" s="6" t="n">
        <v>0.05</v>
      </c>
      <c r="J88" s="5" t="n">
        <v>304000</v>
      </c>
      <c r="K88" s="5" t="n">
        <v>230400</v>
      </c>
      <c r="L88" s="5" t="n">
        <v>73600</v>
      </c>
      <c r="M88" s="7">
        <f>L88/J88</f>
        <v/>
      </c>
    </row>
    <row r="89" ht="15.75" customHeight="1" s="19">
      <c r="A89" s="2" t="n">
        <v>88</v>
      </c>
      <c r="B89" s="4" t="n">
        <v>46114</v>
      </c>
      <c r="C89" s="2" t="inlineStr">
        <is>
          <t>Laptop</t>
        </is>
      </c>
      <c r="D89" s="2" t="inlineStr">
        <is>
          <t>Electronics</t>
        </is>
      </c>
      <c r="E89" s="2" t="inlineStr">
        <is>
          <t>Lagos</t>
        </is>
      </c>
      <c r="F89" s="2" t="inlineStr">
        <is>
          <t>Michael</t>
        </is>
      </c>
      <c r="G89" s="2" t="n">
        <v>7</v>
      </c>
      <c r="H89" s="5" t="n">
        <v>427500</v>
      </c>
      <c r="I89" s="6" t="n">
        <v>0.1</v>
      </c>
      <c r="J89" s="5" t="n">
        <v>2693250</v>
      </c>
      <c r="K89" s="5" t="n">
        <v>2154600</v>
      </c>
      <c r="L89" s="5" t="n">
        <v>538650</v>
      </c>
      <c r="M89" s="7">
        <f>L89/J89</f>
        <v/>
      </c>
    </row>
    <row r="90" ht="15.75" customHeight="1" s="19">
      <c r="A90" s="2" t="n">
        <v>89</v>
      </c>
      <c r="B90" s="4" t="n">
        <v>46139</v>
      </c>
      <c r="C90" s="2" t="inlineStr">
        <is>
          <t>Laptop</t>
        </is>
      </c>
      <c r="D90" s="2" t="inlineStr">
        <is>
          <t>Electronics</t>
        </is>
      </c>
      <c r="E90" s="2" t="inlineStr">
        <is>
          <t>Abuja</t>
        </is>
      </c>
      <c r="F90" s="2" t="inlineStr">
        <is>
          <t>Michael</t>
        </is>
      </c>
      <c r="G90" s="2" t="n">
        <v>9</v>
      </c>
      <c r="H90" s="5" t="n">
        <v>427500</v>
      </c>
      <c r="I90" s="6" t="n">
        <v>0.05</v>
      </c>
      <c r="J90" s="5" t="n">
        <v>3655125</v>
      </c>
      <c r="K90" s="5" t="n">
        <v>2770200</v>
      </c>
      <c r="L90" s="5" t="n">
        <v>884925</v>
      </c>
      <c r="M90" s="7">
        <f>L90/J90</f>
        <v/>
      </c>
    </row>
    <row r="91" ht="15.75" customHeight="1" s="19">
      <c r="A91" s="2" t="n">
        <v>90</v>
      </c>
      <c r="B91" s="4" t="n">
        <v>46186</v>
      </c>
      <c r="C91" s="2" t="inlineStr">
        <is>
          <t>Monitor</t>
        </is>
      </c>
      <c r="D91" s="2" t="inlineStr">
        <is>
          <t>Electronics</t>
        </is>
      </c>
      <c r="E91" s="2" t="inlineStr">
        <is>
          <t>Ibadan</t>
        </is>
      </c>
      <c r="F91" s="2" t="inlineStr">
        <is>
          <t>Grace</t>
        </is>
      </c>
      <c r="G91" s="2" t="n">
        <v>5</v>
      </c>
      <c r="H91" s="5" t="n">
        <v>160000</v>
      </c>
      <c r="I91" s="6" t="n">
        <v>0</v>
      </c>
      <c r="J91" s="5" t="n">
        <v>800000</v>
      </c>
      <c r="K91" s="5" t="n">
        <v>576000</v>
      </c>
      <c r="L91" s="5" t="n">
        <v>224000</v>
      </c>
      <c r="M91" s="7">
        <f>L91/J91</f>
        <v/>
      </c>
    </row>
    <row r="92" ht="15.75" customHeight="1" s="19">
      <c r="A92" s="2" t="n">
        <v>91</v>
      </c>
      <c r="B92" s="4" t="n">
        <v>46071</v>
      </c>
      <c r="C92" s="2" t="inlineStr">
        <is>
          <t>Keyboard</t>
        </is>
      </c>
      <c r="D92" s="2" t="inlineStr">
        <is>
          <t>Electronics</t>
        </is>
      </c>
      <c r="E92" s="2" t="inlineStr">
        <is>
          <t>Lagos</t>
        </is>
      </c>
      <c r="F92" s="2" t="inlineStr">
        <is>
          <t>Tunde</t>
        </is>
      </c>
      <c r="G92" s="2" t="n">
        <v>9</v>
      </c>
      <c r="H92" s="5" t="n">
        <v>30000</v>
      </c>
      <c r="I92" s="6" t="n">
        <v>0.1</v>
      </c>
      <c r="J92" s="5" t="n">
        <v>243000</v>
      </c>
      <c r="K92" s="5" t="n">
        <v>194400</v>
      </c>
      <c r="L92" s="5" t="n">
        <v>48600</v>
      </c>
      <c r="M92" s="7">
        <f>L92/J92</f>
        <v/>
      </c>
    </row>
    <row r="93" ht="15.75" customHeight="1" s="19">
      <c r="A93" s="2" t="n">
        <v>92</v>
      </c>
      <c r="B93" s="4" t="n">
        <v>46034</v>
      </c>
      <c r="C93" s="2" t="inlineStr">
        <is>
          <t>Printer</t>
        </is>
      </c>
      <c r="D93" s="2" t="inlineStr">
        <is>
          <t>Electronics</t>
        </is>
      </c>
      <c r="E93" s="2" t="inlineStr">
        <is>
          <t>Abuja</t>
        </is>
      </c>
      <c r="F93" s="2" t="inlineStr">
        <is>
          <t>Michael</t>
        </is>
      </c>
      <c r="G93" s="2" t="n">
        <v>6</v>
      </c>
      <c r="H93" s="5" t="n">
        <v>126000</v>
      </c>
      <c r="I93" s="6" t="n">
        <v>0.1</v>
      </c>
      <c r="J93" s="5" t="n">
        <v>680400</v>
      </c>
      <c r="K93" s="5" t="n">
        <v>544320</v>
      </c>
      <c r="L93" s="5" t="n">
        <v>136080</v>
      </c>
      <c r="M93" s="7">
        <f>L93/J93</f>
        <v/>
      </c>
    </row>
    <row r="94" ht="15.75" customHeight="1" s="19">
      <c r="A94" s="2" t="n">
        <v>93</v>
      </c>
      <c r="B94" s="4" t="n">
        <v>46158</v>
      </c>
      <c r="C94" s="2" t="inlineStr">
        <is>
          <t>Keyboard</t>
        </is>
      </c>
      <c r="D94" s="2" t="inlineStr">
        <is>
          <t>Electronics</t>
        </is>
      </c>
      <c r="E94" s="2" t="inlineStr">
        <is>
          <t>Abuja</t>
        </is>
      </c>
      <c r="F94" s="2" t="inlineStr">
        <is>
          <t>Michael</t>
        </is>
      </c>
      <c r="G94" s="2" t="n">
        <v>5</v>
      </c>
      <c r="H94" s="5" t="n">
        <v>30000</v>
      </c>
      <c r="I94" s="6" t="n">
        <v>0.05</v>
      </c>
      <c r="J94" s="5" t="n">
        <v>142500</v>
      </c>
      <c r="K94" s="5" t="n">
        <v>108000</v>
      </c>
      <c r="L94" s="5" t="n">
        <v>34500</v>
      </c>
      <c r="M94" s="7">
        <f>L94/J94</f>
        <v/>
      </c>
    </row>
    <row r="95" ht="15.75" customHeight="1" s="19">
      <c r="A95" s="2" t="n">
        <v>94</v>
      </c>
      <c r="B95" s="4" t="n">
        <v>46167</v>
      </c>
      <c r="C95" s="2" t="inlineStr">
        <is>
          <t>Office Chair</t>
        </is>
      </c>
      <c r="D95" s="2" t="inlineStr">
        <is>
          <t>Furniture</t>
        </is>
      </c>
      <c r="E95" s="2" t="inlineStr">
        <is>
          <t>Lagos</t>
        </is>
      </c>
      <c r="F95" s="2" t="inlineStr">
        <is>
          <t>Aisha</t>
        </is>
      </c>
      <c r="G95" s="2" t="n">
        <v>5</v>
      </c>
      <c r="H95" s="5" t="n">
        <v>171000</v>
      </c>
      <c r="I95" s="6" t="n">
        <v>0.1</v>
      </c>
      <c r="J95" s="5" t="n">
        <v>769500</v>
      </c>
      <c r="K95" s="5" t="n">
        <v>615600</v>
      </c>
      <c r="L95" s="5" t="n">
        <v>153900</v>
      </c>
      <c r="M95" s="7">
        <f>L95/J95</f>
        <v/>
      </c>
    </row>
    <row r="96" ht="15.75" customHeight="1" s="19">
      <c r="A96" s="2" t="n">
        <v>95</v>
      </c>
      <c r="B96" s="4" t="n">
        <v>46163</v>
      </c>
      <c r="C96" s="2" t="inlineStr">
        <is>
          <t>Monitor</t>
        </is>
      </c>
      <c r="D96" s="2" t="inlineStr">
        <is>
          <t>Electronics</t>
        </is>
      </c>
      <c r="E96" s="2" t="inlineStr">
        <is>
          <t>Ibadan</t>
        </is>
      </c>
      <c r="F96" s="2" t="inlineStr">
        <is>
          <t>Tunde</t>
        </is>
      </c>
      <c r="G96" s="2" t="n">
        <v>4</v>
      </c>
      <c r="H96" s="5" t="n">
        <v>152000</v>
      </c>
      <c r="I96" s="6" t="n">
        <v>0</v>
      </c>
      <c r="J96" s="5" t="n">
        <v>608000</v>
      </c>
      <c r="K96" s="5" t="n">
        <v>437760</v>
      </c>
      <c r="L96" s="5" t="n">
        <v>170240</v>
      </c>
      <c r="M96" s="7">
        <f>L96/J96</f>
        <v/>
      </c>
    </row>
    <row r="97" ht="15.75" customHeight="1" s="19">
      <c r="A97" s="2" t="n">
        <v>96</v>
      </c>
      <c r="B97" s="4" t="n">
        <v>46069</v>
      </c>
      <c r="C97" s="2" t="inlineStr">
        <is>
          <t>Printer</t>
        </is>
      </c>
      <c r="D97" s="2" t="inlineStr">
        <is>
          <t>Electronics</t>
        </is>
      </c>
      <c r="E97" s="2" t="inlineStr">
        <is>
          <t>Lagos</t>
        </is>
      </c>
      <c r="F97" s="2" t="inlineStr">
        <is>
          <t>David</t>
        </is>
      </c>
      <c r="G97" s="2" t="n">
        <v>2</v>
      </c>
      <c r="H97" s="5" t="n">
        <v>126000</v>
      </c>
      <c r="I97" s="6" t="n">
        <v>0</v>
      </c>
      <c r="J97" s="5" t="n">
        <v>252000</v>
      </c>
      <c r="K97" s="5" t="n">
        <v>181440</v>
      </c>
      <c r="L97" s="5" t="n">
        <v>70560</v>
      </c>
      <c r="M97" s="7">
        <f>L97/J97</f>
        <v/>
      </c>
    </row>
    <row r="98" ht="15.75" customHeight="1" s="19">
      <c r="A98" s="2" t="n">
        <v>97</v>
      </c>
      <c r="B98" s="4" t="n">
        <v>46131</v>
      </c>
      <c r="C98" s="2" t="inlineStr">
        <is>
          <t>Office Chair</t>
        </is>
      </c>
      <c r="D98" s="2" t="inlineStr">
        <is>
          <t>Furniture</t>
        </is>
      </c>
      <c r="E98" s="2" t="inlineStr">
        <is>
          <t>Kano</t>
        </is>
      </c>
      <c r="F98" s="2" t="inlineStr">
        <is>
          <t>Aisha</t>
        </is>
      </c>
      <c r="G98" s="2" t="n">
        <v>8</v>
      </c>
      <c r="H98" s="5" t="n">
        <v>180000</v>
      </c>
      <c r="I98" s="6" t="n">
        <v>0.05</v>
      </c>
      <c r="J98" s="5" t="n">
        <v>1368000</v>
      </c>
      <c r="K98" s="5" t="n">
        <v>1036800</v>
      </c>
      <c r="L98" s="5" t="n">
        <v>331200</v>
      </c>
      <c r="M98" s="7">
        <f>L98/J98</f>
        <v/>
      </c>
    </row>
    <row r="99" ht="15.75" customHeight="1" s="19">
      <c r="A99" s="2" t="n">
        <v>98</v>
      </c>
      <c r="B99" s="4" t="n">
        <v>46199</v>
      </c>
      <c r="C99" s="2" t="inlineStr">
        <is>
          <t>Printer</t>
        </is>
      </c>
      <c r="D99" s="2" t="inlineStr">
        <is>
          <t>Electronics</t>
        </is>
      </c>
      <c r="E99" s="2" t="inlineStr">
        <is>
          <t>Ibadan</t>
        </is>
      </c>
      <c r="F99" s="2" t="inlineStr">
        <is>
          <t>Tunde</t>
        </is>
      </c>
      <c r="G99" s="2" t="n">
        <v>1</v>
      </c>
      <c r="H99" s="5" t="n">
        <v>120000</v>
      </c>
      <c r="I99" s="6" t="n">
        <v>0.1</v>
      </c>
      <c r="J99" s="5" t="n">
        <v>108000</v>
      </c>
      <c r="K99" s="5" t="n">
        <v>86400</v>
      </c>
      <c r="L99" s="5" t="n">
        <v>21600</v>
      </c>
      <c r="M99" s="7">
        <f>L99/J99</f>
        <v/>
      </c>
    </row>
    <row r="100" ht="15.75" customHeight="1" s="19">
      <c r="A100" s="2" t="n">
        <v>99</v>
      </c>
      <c r="B100" s="4" t="n">
        <v>46049</v>
      </c>
      <c r="C100" s="2" t="inlineStr">
        <is>
          <t>Office Chair</t>
        </is>
      </c>
      <c r="D100" s="2" t="inlineStr">
        <is>
          <t>Furniture</t>
        </is>
      </c>
      <c r="E100" s="2" t="inlineStr">
        <is>
          <t>Lagos</t>
        </is>
      </c>
      <c r="F100" s="2" t="inlineStr">
        <is>
          <t>Tunde</t>
        </is>
      </c>
      <c r="G100" s="2" t="n">
        <v>9</v>
      </c>
      <c r="H100" s="5" t="n">
        <v>180000</v>
      </c>
      <c r="I100" s="6" t="n">
        <v>0.1</v>
      </c>
      <c r="J100" s="5" t="n">
        <v>1458000</v>
      </c>
      <c r="K100" s="5" t="n">
        <v>1166400</v>
      </c>
      <c r="L100" s="5" t="n">
        <v>291600</v>
      </c>
      <c r="M100" s="7">
        <f>L100/J100</f>
        <v/>
      </c>
    </row>
    <row r="101" ht="15.75" customHeight="1" s="19">
      <c r="A101" s="2" t="n">
        <v>100</v>
      </c>
      <c r="B101" s="4" t="n">
        <v>46151</v>
      </c>
      <c r="C101" s="2" t="inlineStr">
        <is>
          <t>Laptop</t>
        </is>
      </c>
      <c r="D101" s="2" t="inlineStr">
        <is>
          <t>Electronics</t>
        </is>
      </c>
      <c r="E101" s="2" t="inlineStr">
        <is>
          <t>Kano</t>
        </is>
      </c>
      <c r="F101" s="2" t="inlineStr">
        <is>
          <t>Michael</t>
        </is>
      </c>
      <c r="G101" s="2" t="n">
        <v>2</v>
      </c>
      <c r="H101" s="5" t="n">
        <v>427500</v>
      </c>
      <c r="I101" s="6" t="n">
        <v>0.1</v>
      </c>
      <c r="J101" s="5" t="n">
        <v>769500</v>
      </c>
      <c r="K101" s="5" t="n">
        <v>615600</v>
      </c>
      <c r="L101" s="5" t="n">
        <v>153900</v>
      </c>
      <c r="M101" s="7">
        <f>L101/J101</f>
        <v/>
      </c>
    </row>
    <row r="102" ht="15.75" customHeight="1" s="19">
      <c r="A102" s="2" t="n">
        <v>101</v>
      </c>
      <c r="B102" s="4" t="n">
        <v>46124</v>
      </c>
      <c r="C102" s="2" t="inlineStr">
        <is>
          <t>Laptop</t>
        </is>
      </c>
      <c r="D102" s="2" t="inlineStr">
        <is>
          <t>Electronics</t>
        </is>
      </c>
      <c r="E102" s="2" t="inlineStr">
        <is>
          <t>Ibadan</t>
        </is>
      </c>
      <c r="F102" s="2" t="inlineStr">
        <is>
          <t>Tunde</t>
        </is>
      </c>
      <c r="G102" s="2" t="n">
        <v>5</v>
      </c>
      <c r="H102" s="5" t="n">
        <v>472500</v>
      </c>
      <c r="I102" s="6" t="n">
        <v>0</v>
      </c>
      <c r="J102" s="5" t="n">
        <v>2362500</v>
      </c>
      <c r="K102" s="5" t="n">
        <v>1701000</v>
      </c>
      <c r="L102" s="5" t="n">
        <v>661500</v>
      </c>
      <c r="M102" s="7">
        <f>L102/J102</f>
        <v/>
      </c>
    </row>
    <row r="103" ht="15.75" customHeight="1" s="19">
      <c r="A103" s="2" t="n">
        <v>102</v>
      </c>
      <c r="B103" s="4" t="n">
        <v>46105</v>
      </c>
      <c r="C103" s="2" t="inlineStr">
        <is>
          <t>Monitor</t>
        </is>
      </c>
      <c r="D103" s="2" t="inlineStr">
        <is>
          <t>Electronics</t>
        </is>
      </c>
      <c r="E103" s="2" t="inlineStr">
        <is>
          <t>Lagos</t>
        </is>
      </c>
      <c r="F103" s="2" t="inlineStr">
        <is>
          <t>Tunde</t>
        </is>
      </c>
      <c r="G103" s="2" t="n">
        <v>5</v>
      </c>
      <c r="H103" s="5" t="n">
        <v>152000</v>
      </c>
      <c r="I103" s="6" t="n">
        <v>0.05</v>
      </c>
      <c r="J103" s="5" t="n">
        <v>722000</v>
      </c>
      <c r="K103" s="5" t="n">
        <v>547200</v>
      </c>
      <c r="L103" s="5" t="n">
        <v>174800</v>
      </c>
      <c r="M103" s="7">
        <f>L103/J103</f>
        <v/>
      </c>
    </row>
    <row r="104" ht="15.75" customHeight="1" s="19">
      <c r="A104" s="2" t="n">
        <v>103</v>
      </c>
      <c r="B104" s="4" t="n">
        <v>46073</v>
      </c>
      <c r="C104" s="2" t="inlineStr">
        <is>
          <t>Printer</t>
        </is>
      </c>
      <c r="D104" s="2" t="inlineStr">
        <is>
          <t>Electronics</t>
        </is>
      </c>
      <c r="E104" s="2" t="inlineStr">
        <is>
          <t>Kano</t>
        </is>
      </c>
      <c r="F104" s="2" t="inlineStr">
        <is>
          <t>Tunde</t>
        </is>
      </c>
      <c r="G104" s="2" t="n">
        <v>9</v>
      </c>
      <c r="H104" s="5" t="n">
        <v>120000</v>
      </c>
      <c r="I104" s="6" t="n">
        <v>0</v>
      </c>
      <c r="J104" s="5" t="n">
        <v>1080000</v>
      </c>
      <c r="K104" s="5" t="n">
        <v>777600</v>
      </c>
      <c r="L104" s="5" t="n">
        <v>302400</v>
      </c>
      <c r="M104" s="7">
        <f>L104/J104</f>
        <v/>
      </c>
    </row>
    <row r="105" ht="15.75" customHeight="1" s="19">
      <c r="A105" s="2" t="n">
        <v>104</v>
      </c>
      <c r="B105" s="4" t="n">
        <v>46114</v>
      </c>
      <c r="C105" s="2" t="inlineStr">
        <is>
          <t>Keyboard</t>
        </is>
      </c>
      <c r="D105" s="2" t="inlineStr">
        <is>
          <t>Electronics</t>
        </is>
      </c>
      <c r="E105" s="2" t="inlineStr">
        <is>
          <t>Abuja</t>
        </is>
      </c>
      <c r="F105" s="2" t="inlineStr">
        <is>
          <t>David</t>
        </is>
      </c>
      <c r="G105" s="2" t="n">
        <v>1</v>
      </c>
      <c r="H105" s="5" t="n">
        <v>28500</v>
      </c>
      <c r="I105" s="6" t="n">
        <v>0.05</v>
      </c>
      <c r="J105" s="5" t="n">
        <v>27075</v>
      </c>
      <c r="K105" s="5" t="n">
        <v>20520</v>
      </c>
      <c r="L105" s="5" t="n">
        <v>6555</v>
      </c>
      <c r="M105" s="7">
        <f>L105/J105</f>
        <v/>
      </c>
    </row>
    <row r="106" ht="15.75" customHeight="1" s="19">
      <c r="A106" s="2" t="n">
        <v>105</v>
      </c>
      <c r="B106" s="4" t="n">
        <v>46145</v>
      </c>
      <c r="C106" s="2" t="inlineStr">
        <is>
          <t>Office Chair</t>
        </is>
      </c>
      <c r="D106" s="2" t="inlineStr">
        <is>
          <t>Furniture</t>
        </is>
      </c>
      <c r="E106" s="2" t="inlineStr">
        <is>
          <t>Abuja</t>
        </is>
      </c>
      <c r="F106" s="2" t="inlineStr">
        <is>
          <t>Michael</t>
        </is>
      </c>
      <c r="G106" s="2" t="n">
        <v>6</v>
      </c>
      <c r="H106" s="5" t="n">
        <v>180000</v>
      </c>
      <c r="I106" s="6" t="n">
        <v>0.1</v>
      </c>
      <c r="J106" s="5" t="n">
        <v>972000</v>
      </c>
      <c r="K106" s="5" t="n">
        <v>777600</v>
      </c>
      <c r="L106" s="5" t="n">
        <v>194400</v>
      </c>
      <c r="M106" s="7">
        <f>L106/J106</f>
        <v/>
      </c>
    </row>
    <row r="107" ht="15.75" customHeight="1" s="19">
      <c r="A107" s="2" t="n">
        <v>106</v>
      </c>
      <c r="B107" s="4" t="n">
        <v>46079</v>
      </c>
      <c r="C107" s="2" t="inlineStr">
        <is>
          <t>Laptop</t>
        </is>
      </c>
      <c r="D107" s="2" t="inlineStr">
        <is>
          <t>Electronics</t>
        </is>
      </c>
      <c r="E107" s="2" t="inlineStr">
        <is>
          <t>Lagos</t>
        </is>
      </c>
      <c r="F107" s="2" t="inlineStr">
        <is>
          <t>Tunde</t>
        </is>
      </c>
      <c r="G107" s="2" t="n">
        <v>6</v>
      </c>
      <c r="H107" s="5" t="n">
        <v>427500</v>
      </c>
      <c r="I107" s="6" t="n">
        <v>0.05</v>
      </c>
      <c r="J107" s="5" t="n">
        <v>2436750</v>
      </c>
      <c r="K107" s="5" t="n">
        <v>1846800</v>
      </c>
      <c r="L107" s="5" t="n">
        <v>589950</v>
      </c>
      <c r="M107" s="7">
        <f>L107/J107</f>
        <v/>
      </c>
    </row>
    <row r="108" ht="15.75" customHeight="1" s="19">
      <c r="A108" s="2" t="n">
        <v>107</v>
      </c>
      <c r="B108" s="4" t="n">
        <v>46125</v>
      </c>
      <c r="C108" s="2" t="inlineStr">
        <is>
          <t>Monitor</t>
        </is>
      </c>
      <c r="D108" s="2" t="inlineStr">
        <is>
          <t>Electronics</t>
        </is>
      </c>
      <c r="E108" s="2" t="inlineStr">
        <is>
          <t>Port Harcourt</t>
        </is>
      </c>
      <c r="F108" s="2" t="inlineStr">
        <is>
          <t>David</t>
        </is>
      </c>
      <c r="G108" s="2" t="n">
        <v>2</v>
      </c>
      <c r="H108" s="5" t="n">
        <v>168000</v>
      </c>
      <c r="I108" s="6" t="n">
        <v>0.1</v>
      </c>
      <c r="J108" s="5" t="n">
        <v>302400</v>
      </c>
      <c r="K108" s="5" t="n">
        <v>241920</v>
      </c>
      <c r="L108" s="5" t="n">
        <v>60480</v>
      </c>
      <c r="M108" s="7">
        <f>L108/J108</f>
        <v/>
      </c>
    </row>
    <row r="109" ht="15.75" customHeight="1" s="19">
      <c r="A109" s="2" t="n">
        <v>108</v>
      </c>
      <c r="B109" s="4" t="n">
        <v>46052</v>
      </c>
      <c r="C109" s="2" t="inlineStr">
        <is>
          <t>Printer</t>
        </is>
      </c>
      <c r="D109" s="2" t="inlineStr">
        <is>
          <t>Electronics</t>
        </is>
      </c>
      <c r="E109" s="2" t="inlineStr">
        <is>
          <t>Ibadan</t>
        </is>
      </c>
      <c r="F109" s="2" t="inlineStr">
        <is>
          <t>Grace</t>
        </is>
      </c>
      <c r="G109" s="2" t="n">
        <v>2</v>
      </c>
      <c r="H109" s="5" t="n">
        <v>120000</v>
      </c>
      <c r="I109" s="6" t="n">
        <v>0.05</v>
      </c>
      <c r="J109" s="5" t="n">
        <v>228000</v>
      </c>
      <c r="K109" s="5" t="n">
        <v>172800</v>
      </c>
      <c r="L109" s="5" t="n">
        <v>55200</v>
      </c>
      <c r="M109" s="7">
        <f>L109/J109</f>
        <v/>
      </c>
    </row>
    <row r="110" ht="15.75" customHeight="1" s="19">
      <c r="A110" s="2" t="n">
        <v>109</v>
      </c>
      <c r="B110" s="4" t="n">
        <v>46101</v>
      </c>
      <c r="C110" s="2" t="inlineStr">
        <is>
          <t>Office Chair</t>
        </is>
      </c>
      <c r="D110" s="2" t="inlineStr">
        <is>
          <t>Furniture</t>
        </is>
      </c>
      <c r="E110" s="2" t="inlineStr">
        <is>
          <t>Port Harcourt</t>
        </is>
      </c>
      <c r="F110" s="2" t="inlineStr">
        <is>
          <t>David</t>
        </is>
      </c>
      <c r="G110" s="2" t="n">
        <v>4</v>
      </c>
      <c r="H110" s="5" t="n">
        <v>171000</v>
      </c>
      <c r="I110" s="6" t="n">
        <v>0.05</v>
      </c>
      <c r="J110" s="5" t="n">
        <v>649800</v>
      </c>
      <c r="K110" s="5" t="n">
        <v>492480</v>
      </c>
      <c r="L110" s="5" t="n">
        <v>157320</v>
      </c>
      <c r="M110" s="7">
        <f>L110/J110</f>
        <v/>
      </c>
    </row>
    <row r="111" ht="15.75" customHeight="1" s="19">
      <c r="A111" s="2" t="n">
        <v>110</v>
      </c>
      <c r="B111" s="4" t="n">
        <v>46154</v>
      </c>
      <c r="C111" s="2" t="inlineStr">
        <is>
          <t>Headset</t>
        </is>
      </c>
      <c r="D111" s="2" t="inlineStr">
        <is>
          <t>Electronics</t>
        </is>
      </c>
      <c r="E111" s="2" t="inlineStr">
        <is>
          <t>Abuja</t>
        </is>
      </c>
      <c r="F111" s="2" t="inlineStr">
        <is>
          <t>Aisha</t>
        </is>
      </c>
      <c r="G111" s="2" t="n">
        <v>1</v>
      </c>
      <c r="H111" s="5" t="n">
        <v>42750</v>
      </c>
      <c r="I111" s="6" t="n">
        <v>0</v>
      </c>
      <c r="J111" s="5" t="n">
        <v>42750</v>
      </c>
      <c r="K111" s="5" t="n">
        <v>30780</v>
      </c>
      <c r="L111" s="5" t="n">
        <v>11970</v>
      </c>
      <c r="M111" s="7">
        <f>L111/J111</f>
        <v/>
      </c>
    </row>
    <row r="112" ht="15.75" customHeight="1" s="19">
      <c r="A112" s="2" t="n">
        <v>111</v>
      </c>
      <c r="B112" s="4" t="n">
        <v>46028</v>
      </c>
      <c r="C112" s="2" t="inlineStr">
        <is>
          <t>Office Chair</t>
        </is>
      </c>
      <c r="D112" s="2" t="inlineStr">
        <is>
          <t>Furniture</t>
        </is>
      </c>
      <c r="E112" s="2" t="inlineStr">
        <is>
          <t>Kano</t>
        </is>
      </c>
      <c r="F112" s="2" t="inlineStr">
        <is>
          <t>David</t>
        </is>
      </c>
      <c r="G112" s="2" t="n">
        <v>1</v>
      </c>
      <c r="H112" s="5" t="n">
        <v>171000</v>
      </c>
      <c r="I112" s="6" t="n">
        <v>0.05</v>
      </c>
      <c r="J112" s="5" t="n">
        <v>162450</v>
      </c>
      <c r="K112" s="5" t="n">
        <v>123120</v>
      </c>
      <c r="L112" s="5" t="n">
        <v>39330</v>
      </c>
      <c r="M112" s="7">
        <f>L112/J112</f>
        <v/>
      </c>
    </row>
    <row r="113" ht="15.75" customHeight="1" s="19">
      <c r="A113" s="2" t="n">
        <v>112</v>
      </c>
      <c r="B113" s="4" t="n">
        <v>46173</v>
      </c>
      <c r="C113" s="2" t="inlineStr">
        <is>
          <t>Monitor</t>
        </is>
      </c>
      <c r="D113" s="2" t="inlineStr">
        <is>
          <t>Electronics</t>
        </is>
      </c>
      <c r="E113" s="2" t="inlineStr">
        <is>
          <t>Ibadan</t>
        </is>
      </c>
      <c r="F113" s="2" t="inlineStr">
        <is>
          <t>Michael</t>
        </is>
      </c>
      <c r="G113" s="2" t="n">
        <v>3</v>
      </c>
      <c r="H113" s="5" t="n">
        <v>168000</v>
      </c>
      <c r="I113" s="6" t="n">
        <v>0</v>
      </c>
      <c r="J113" s="5" t="n">
        <v>504000</v>
      </c>
      <c r="K113" s="5" t="n">
        <v>362880</v>
      </c>
      <c r="L113" s="5" t="n">
        <v>141120</v>
      </c>
      <c r="M113" s="7">
        <f>L113/J113</f>
        <v/>
      </c>
    </row>
    <row r="114" ht="15.75" customHeight="1" s="19">
      <c r="A114" s="2" t="n">
        <v>113</v>
      </c>
      <c r="B114" s="4" t="n">
        <v>46118</v>
      </c>
      <c r="C114" s="2" t="inlineStr">
        <is>
          <t>Keyboard</t>
        </is>
      </c>
      <c r="D114" s="2" t="inlineStr">
        <is>
          <t>Electronics</t>
        </is>
      </c>
      <c r="E114" s="2" t="inlineStr">
        <is>
          <t>Ibadan</t>
        </is>
      </c>
      <c r="F114" s="2" t="inlineStr">
        <is>
          <t>Grace</t>
        </is>
      </c>
      <c r="G114" s="2" t="n">
        <v>8</v>
      </c>
      <c r="H114" s="5" t="n">
        <v>28500</v>
      </c>
      <c r="I114" s="6" t="n">
        <v>0.1</v>
      </c>
      <c r="J114" s="5" t="n">
        <v>205200</v>
      </c>
      <c r="K114" s="5" t="n">
        <v>164160</v>
      </c>
      <c r="L114" s="5" t="n">
        <v>41040</v>
      </c>
      <c r="M114" s="7">
        <f>L114/J114</f>
        <v/>
      </c>
    </row>
    <row r="115" ht="15.75" customHeight="1" s="19">
      <c r="A115" s="2" t="n">
        <v>114</v>
      </c>
      <c r="B115" s="4" t="n">
        <v>46073</v>
      </c>
      <c r="C115" s="2" t="inlineStr">
        <is>
          <t>Monitor</t>
        </is>
      </c>
      <c r="D115" s="2" t="inlineStr">
        <is>
          <t>Electronics</t>
        </is>
      </c>
      <c r="E115" s="2" t="inlineStr">
        <is>
          <t>Ibadan</t>
        </is>
      </c>
      <c r="F115" s="2" t="inlineStr">
        <is>
          <t>Tunde</t>
        </is>
      </c>
      <c r="G115" s="2" t="n">
        <v>2</v>
      </c>
      <c r="H115" s="5" t="n">
        <v>152000</v>
      </c>
      <c r="I115" s="6" t="n">
        <v>0.05</v>
      </c>
      <c r="J115" s="5" t="n">
        <v>288800</v>
      </c>
      <c r="K115" s="5" t="n">
        <v>218880</v>
      </c>
      <c r="L115" s="5" t="n">
        <v>69920</v>
      </c>
      <c r="M115" s="7">
        <f>L115/J115</f>
        <v/>
      </c>
    </row>
    <row r="116" ht="15.75" customHeight="1" s="19">
      <c r="A116" s="2" t="n">
        <v>115</v>
      </c>
      <c r="B116" s="4" t="n">
        <v>46044</v>
      </c>
      <c r="C116" s="2" t="inlineStr">
        <is>
          <t>Monitor</t>
        </is>
      </c>
      <c r="D116" s="2" t="inlineStr">
        <is>
          <t>Electronics</t>
        </is>
      </c>
      <c r="E116" s="2" t="inlineStr">
        <is>
          <t>Kano</t>
        </is>
      </c>
      <c r="F116" s="2" t="inlineStr">
        <is>
          <t>Aisha</t>
        </is>
      </c>
      <c r="G116" s="2" t="n">
        <v>2</v>
      </c>
      <c r="H116" s="5" t="n">
        <v>160000</v>
      </c>
      <c r="I116" s="6" t="n">
        <v>0</v>
      </c>
      <c r="J116" s="5" t="n">
        <v>320000</v>
      </c>
      <c r="K116" s="5" t="n">
        <v>230400</v>
      </c>
      <c r="L116" s="5" t="n">
        <v>89600</v>
      </c>
      <c r="M116" s="7">
        <f>L116/J116</f>
        <v/>
      </c>
    </row>
    <row r="117" ht="15.75" customHeight="1" s="19">
      <c r="A117" s="2" t="n">
        <v>116</v>
      </c>
      <c r="B117" s="4" t="n">
        <v>46056</v>
      </c>
      <c r="C117" s="2" t="inlineStr">
        <is>
          <t>Monitor</t>
        </is>
      </c>
      <c r="D117" s="2" t="inlineStr">
        <is>
          <t>Electronics</t>
        </is>
      </c>
      <c r="E117" s="2" t="inlineStr">
        <is>
          <t>Lagos</t>
        </is>
      </c>
      <c r="F117" s="2" t="inlineStr">
        <is>
          <t>David</t>
        </is>
      </c>
      <c r="G117" s="2" t="n">
        <v>9</v>
      </c>
      <c r="H117" s="5" t="n">
        <v>160000</v>
      </c>
      <c r="I117" s="6" t="n">
        <v>0.05</v>
      </c>
      <c r="J117" s="5" t="n">
        <v>1368000</v>
      </c>
      <c r="K117" s="5" t="n">
        <v>1036800</v>
      </c>
      <c r="L117" s="5" t="n">
        <v>331200</v>
      </c>
      <c r="M117" s="7">
        <f>L117/J117</f>
        <v/>
      </c>
    </row>
    <row r="118" ht="15.75" customHeight="1" s="19">
      <c r="A118" s="2" t="n">
        <v>117</v>
      </c>
      <c r="B118" s="4" t="n">
        <v>46069</v>
      </c>
      <c r="C118" s="2" t="inlineStr">
        <is>
          <t>Monitor</t>
        </is>
      </c>
      <c r="D118" s="2" t="inlineStr">
        <is>
          <t>Electronics</t>
        </is>
      </c>
      <c r="E118" s="2" t="inlineStr">
        <is>
          <t>Lagos</t>
        </is>
      </c>
      <c r="F118" s="2" t="inlineStr">
        <is>
          <t>Grace</t>
        </is>
      </c>
      <c r="G118" s="2" t="n">
        <v>9</v>
      </c>
      <c r="H118" s="5" t="n">
        <v>160000</v>
      </c>
      <c r="I118" s="6" t="n">
        <v>0</v>
      </c>
      <c r="J118" s="5" t="n">
        <v>1440000</v>
      </c>
      <c r="K118" s="5" t="n">
        <v>1036800</v>
      </c>
      <c r="L118" s="5" t="n">
        <v>403200</v>
      </c>
      <c r="M118" s="7">
        <f>L118/J118</f>
        <v/>
      </c>
    </row>
    <row r="119" ht="15.75" customHeight="1" s="19">
      <c r="A119" s="2" t="n">
        <v>118</v>
      </c>
      <c r="B119" s="4" t="n">
        <v>46030</v>
      </c>
      <c r="C119" s="2" t="inlineStr">
        <is>
          <t>Monitor</t>
        </is>
      </c>
      <c r="D119" s="2" t="inlineStr">
        <is>
          <t>Electronics</t>
        </is>
      </c>
      <c r="E119" s="2" t="inlineStr">
        <is>
          <t>Lagos</t>
        </is>
      </c>
      <c r="F119" s="2" t="inlineStr">
        <is>
          <t>Grace</t>
        </is>
      </c>
      <c r="G119" s="2" t="n">
        <v>1</v>
      </c>
      <c r="H119" s="5" t="n">
        <v>160000</v>
      </c>
      <c r="I119" s="6" t="n">
        <v>0</v>
      </c>
      <c r="J119" s="5" t="n">
        <v>160000</v>
      </c>
      <c r="K119" s="5" t="n">
        <v>115200</v>
      </c>
      <c r="L119" s="5" t="n">
        <v>44800</v>
      </c>
      <c r="M119" s="7">
        <f>L119/J119</f>
        <v/>
      </c>
    </row>
    <row r="120" ht="15.75" customHeight="1" s="19">
      <c r="A120" s="2" t="n">
        <v>119</v>
      </c>
      <c r="B120" s="4" t="n">
        <v>46149</v>
      </c>
      <c r="C120" s="2" t="inlineStr">
        <is>
          <t>Monitor</t>
        </is>
      </c>
      <c r="D120" s="2" t="inlineStr">
        <is>
          <t>Electronics</t>
        </is>
      </c>
      <c r="E120" s="2" t="inlineStr">
        <is>
          <t>Abuja</t>
        </is>
      </c>
      <c r="F120" s="2" t="inlineStr">
        <is>
          <t>Michael</t>
        </is>
      </c>
      <c r="G120" s="2" t="n">
        <v>4</v>
      </c>
      <c r="H120" s="5" t="n">
        <v>168000</v>
      </c>
      <c r="I120" s="6" t="n">
        <v>0.1</v>
      </c>
      <c r="J120" s="5" t="n">
        <v>604800</v>
      </c>
      <c r="K120" s="5" t="n">
        <v>483840</v>
      </c>
      <c r="L120" s="5" t="n">
        <v>120960</v>
      </c>
      <c r="M120" s="7">
        <f>L120/J120</f>
        <v/>
      </c>
    </row>
    <row r="121" ht="15.75" customHeight="1" s="19">
      <c r="A121" s="2" t="n">
        <v>120</v>
      </c>
      <c r="B121" s="4" t="n">
        <v>46176</v>
      </c>
      <c r="C121" s="2" t="inlineStr">
        <is>
          <t>Printer</t>
        </is>
      </c>
      <c r="D121" s="2" t="inlineStr">
        <is>
          <t>Electronics</t>
        </is>
      </c>
      <c r="E121" s="2" t="inlineStr">
        <is>
          <t>Ibadan</t>
        </is>
      </c>
      <c r="F121" s="2" t="inlineStr">
        <is>
          <t>Grace</t>
        </is>
      </c>
      <c r="G121" s="2" t="n">
        <v>8</v>
      </c>
      <c r="H121" s="5" t="n">
        <v>120000</v>
      </c>
      <c r="I121" s="6" t="n">
        <v>0</v>
      </c>
      <c r="J121" s="5" t="n">
        <v>960000</v>
      </c>
      <c r="K121" s="5" t="n">
        <v>691200</v>
      </c>
      <c r="L121" s="5" t="n">
        <v>268800</v>
      </c>
      <c r="M121" s="7">
        <f>L121/J121</f>
        <v/>
      </c>
    </row>
    <row r="122" ht="15.75" customHeight="1" s="19">
      <c r="M122" s="7" t="n"/>
    </row>
    <row r="123" ht="15.75" customHeight="1" s="19">
      <c r="M123" s="7" t="n"/>
    </row>
    <row r="124" ht="15.75" customHeight="1" s="19">
      <c r="M124" s="7" t="n"/>
    </row>
    <row r="125" ht="15.75" customHeight="1" s="19">
      <c r="M125" s="7" t="n"/>
    </row>
    <row r="126" ht="15.75" customHeight="1" s="19">
      <c r="M126" s="7" t="n"/>
    </row>
    <row r="127" ht="15.75" customHeight="1" s="19">
      <c r="M127" s="7" t="n"/>
    </row>
    <row r="128" ht="15.75" customHeight="1" s="19">
      <c r="M128" s="7" t="n"/>
    </row>
    <row r="129" ht="15.75" customHeight="1" s="19">
      <c r="M129" s="7" t="n"/>
    </row>
    <row r="130" ht="15.75" customHeight="1" s="19">
      <c r="M130" s="7" t="n"/>
    </row>
    <row r="131" ht="15.75" customHeight="1" s="19">
      <c r="M131" s="7" t="n"/>
    </row>
    <row r="132" ht="15.75" customHeight="1" s="19">
      <c r="M132" s="7" t="n"/>
    </row>
    <row r="133" ht="15.75" customHeight="1" s="19">
      <c r="M133" s="7" t="n"/>
    </row>
    <row r="134" ht="15.75" customHeight="1" s="19">
      <c r="M134" s="7" t="n"/>
    </row>
    <row r="135" ht="15.75" customHeight="1" s="19">
      <c r="M135" s="7" t="n"/>
    </row>
    <row r="136" ht="15.75" customHeight="1" s="19">
      <c r="M136" s="7" t="n"/>
    </row>
    <row r="137" ht="15.75" customHeight="1" s="19">
      <c r="M137" s="7" t="n"/>
    </row>
    <row r="138" ht="15.75" customHeight="1" s="19">
      <c r="M138" s="7" t="n"/>
    </row>
    <row r="139" ht="15.75" customHeight="1" s="19">
      <c r="M139" s="7" t="n"/>
    </row>
    <row r="140" ht="15.75" customHeight="1" s="19">
      <c r="M140" s="7" t="n"/>
    </row>
    <row r="141" ht="15.75" customHeight="1" s="19">
      <c r="M141" s="7" t="n"/>
    </row>
    <row r="142" ht="15.75" customHeight="1" s="19">
      <c r="M142" s="7" t="n"/>
    </row>
    <row r="143" ht="15.75" customHeight="1" s="19">
      <c r="M143" s="7" t="n"/>
    </row>
    <row r="144" ht="15.75" customHeight="1" s="19">
      <c r="M144" s="7" t="n"/>
    </row>
    <row r="145" ht="15.75" customHeight="1" s="19">
      <c r="M145" s="7" t="n"/>
    </row>
    <row r="146" ht="15.75" customHeight="1" s="19">
      <c r="M146" s="7" t="n"/>
    </row>
    <row r="147" ht="15.75" customHeight="1" s="19">
      <c r="M147" s="7" t="n"/>
    </row>
    <row r="148" ht="15.75" customHeight="1" s="19">
      <c r="M148" s="7" t="n"/>
    </row>
    <row r="149" ht="15.75" customHeight="1" s="19">
      <c r="M149" s="7" t="n"/>
    </row>
    <row r="150" ht="15.75" customHeight="1" s="19">
      <c r="M150" s="7" t="n"/>
    </row>
    <row r="151" ht="15.75" customHeight="1" s="19">
      <c r="M151" s="7" t="n"/>
    </row>
    <row r="152" ht="15.75" customHeight="1" s="19">
      <c r="M152" s="7" t="n"/>
    </row>
    <row r="153" ht="15.75" customHeight="1" s="19">
      <c r="M153" s="7" t="n"/>
    </row>
    <row r="154" ht="15.75" customHeight="1" s="19">
      <c r="M154" s="7" t="n"/>
    </row>
    <row r="155" ht="15.75" customHeight="1" s="19">
      <c r="M155" s="7" t="n"/>
    </row>
    <row r="156" ht="15.75" customHeight="1" s="19">
      <c r="M156" s="7" t="n"/>
    </row>
    <row r="157" ht="15.75" customHeight="1" s="19">
      <c r="M157" s="7" t="n"/>
    </row>
    <row r="158" ht="15.75" customHeight="1" s="19">
      <c r="M158" s="7" t="n"/>
    </row>
    <row r="159" ht="15.75" customHeight="1" s="19">
      <c r="M159" s="7" t="n"/>
    </row>
    <row r="160" ht="15.75" customHeight="1" s="19">
      <c r="M160" s="7" t="n"/>
    </row>
    <row r="161" ht="15.75" customHeight="1" s="19">
      <c r="M161" s="7" t="n"/>
    </row>
    <row r="162" ht="15.75" customHeight="1" s="19">
      <c r="M162" s="7" t="n"/>
    </row>
    <row r="163" ht="15.75" customHeight="1" s="19">
      <c r="M163" s="7" t="n"/>
    </row>
    <row r="164" ht="15.75" customHeight="1" s="19">
      <c r="M164" s="7" t="n"/>
    </row>
    <row r="165" ht="15.75" customHeight="1" s="19">
      <c r="M165" s="7" t="n"/>
    </row>
    <row r="166" ht="15.75" customHeight="1" s="19">
      <c r="M166" s="7" t="n"/>
    </row>
    <row r="167" ht="15.75" customHeight="1" s="19">
      <c r="M167" s="7" t="n"/>
    </row>
    <row r="168" ht="15.75" customHeight="1" s="19">
      <c r="M168" s="7" t="n"/>
    </row>
    <row r="169" ht="15.75" customHeight="1" s="19">
      <c r="M169" s="7" t="n"/>
    </row>
    <row r="170" ht="15.75" customHeight="1" s="19">
      <c r="M170" s="7" t="n"/>
    </row>
    <row r="171" ht="15.75" customHeight="1" s="19">
      <c r="M171" s="7" t="n"/>
    </row>
    <row r="172" ht="15.75" customHeight="1" s="19">
      <c r="M172" s="7" t="n"/>
    </row>
    <row r="173" ht="15.75" customHeight="1" s="19">
      <c r="M173" s="7" t="n"/>
    </row>
    <row r="174" ht="15.75" customHeight="1" s="19">
      <c r="M174" s="7" t="n"/>
    </row>
    <row r="175" ht="15.75" customHeight="1" s="19">
      <c r="M175" s="7" t="n"/>
    </row>
    <row r="176" ht="15.75" customHeight="1" s="19">
      <c r="M176" s="7" t="n"/>
    </row>
    <row r="177" ht="15.75" customHeight="1" s="19">
      <c r="M177" s="7" t="n"/>
    </row>
    <row r="178" ht="15.75" customHeight="1" s="19">
      <c r="M178" s="7" t="n"/>
    </row>
    <row r="179" ht="15.75" customHeight="1" s="19">
      <c r="M179" s="7" t="n"/>
    </row>
    <row r="180" ht="15.75" customHeight="1" s="19">
      <c r="M180" s="7" t="n"/>
    </row>
    <row r="181" ht="15.75" customHeight="1" s="19">
      <c r="M181" s="7" t="n"/>
    </row>
    <row r="182" ht="15.75" customHeight="1" s="19">
      <c r="M182" s="7" t="n"/>
    </row>
    <row r="183" ht="15.75" customHeight="1" s="19">
      <c r="M183" s="7" t="n"/>
    </row>
    <row r="184" ht="15.75" customHeight="1" s="19">
      <c r="M184" s="7" t="n"/>
    </row>
    <row r="185" ht="15.75" customHeight="1" s="19">
      <c r="M185" s="7" t="n"/>
    </row>
    <row r="186" ht="15.75" customHeight="1" s="19">
      <c r="M186" s="7" t="n"/>
    </row>
    <row r="187" ht="15.75" customHeight="1" s="19">
      <c r="M187" s="7" t="n"/>
    </row>
    <row r="188" ht="15.75" customHeight="1" s="19">
      <c r="M188" s="7" t="n"/>
    </row>
    <row r="189" ht="15.75" customHeight="1" s="19">
      <c r="M189" s="7" t="n"/>
    </row>
    <row r="190" ht="15.75" customHeight="1" s="19">
      <c r="M190" s="7" t="n"/>
    </row>
    <row r="191" ht="15.75" customHeight="1" s="19">
      <c r="M191" s="7" t="n"/>
    </row>
    <row r="192" ht="15.75" customHeight="1" s="19">
      <c r="M192" s="7" t="n"/>
    </row>
    <row r="193" ht="15.75" customHeight="1" s="19">
      <c r="M193" s="7" t="n"/>
    </row>
    <row r="194" ht="15.75" customHeight="1" s="19">
      <c r="M194" s="7" t="n"/>
    </row>
    <row r="195" ht="15.75" customHeight="1" s="19">
      <c r="M195" s="7" t="n"/>
    </row>
    <row r="196" ht="15.75" customHeight="1" s="19">
      <c r="M196" s="7" t="n"/>
    </row>
    <row r="197" ht="15.75" customHeight="1" s="19">
      <c r="M197" s="7" t="n"/>
    </row>
    <row r="198" ht="15.75" customHeight="1" s="19">
      <c r="M198" s="7" t="n"/>
    </row>
    <row r="199" ht="15.75" customHeight="1" s="19">
      <c r="M199" s="7" t="n"/>
    </row>
    <row r="200" ht="15.75" customHeight="1" s="19">
      <c r="M200" s="7" t="n"/>
    </row>
    <row r="201" ht="15.75" customHeight="1" s="19">
      <c r="M201" s="7" t="n"/>
    </row>
    <row r="202" ht="15.75" customHeight="1" s="19">
      <c r="M202" s="7" t="n"/>
    </row>
    <row r="203" ht="15.75" customHeight="1" s="19">
      <c r="M203" s="7" t="n"/>
    </row>
    <row r="204" ht="15.75" customHeight="1" s="19">
      <c r="M204" s="7" t="n"/>
    </row>
    <row r="205" ht="15.75" customHeight="1" s="19">
      <c r="M205" s="7" t="n"/>
    </row>
    <row r="206" ht="15.75" customHeight="1" s="19">
      <c r="M206" s="7" t="n"/>
    </row>
    <row r="207" ht="15.75" customHeight="1" s="19">
      <c r="M207" s="7" t="n"/>
    </row>
    <row r="208" ht="15.75" customHeight="1" s="19">
      <c r="M208" s="7" t="n"/>
    </row>
    <row r="209" ht="15.75" customHeight="1" s="19">
      <c r="M209" s="7" t="n"/>
    </row>
    <row r="210" ht="15.75" customHeight="1" s="19">
      <c r="M210" s="7" t="n"/>
    </row>
    <row r="211" ht="15.75" customHeight="1" s="19">
      <c r="M211" s="7" t="n"/>
    </row>
    <row r="212" ht="15.75" customHeight="1" s="19">
      <c r="M212" s="7" t="n"/>
    </row>
    <row r="213" ht="15.75" customHeight="1" s="19">
      <c r="M213" s="7" t="n"/>
    </row>
    <row r="214" ht="15.75" customHeight="1" s="19">
      <c r="M214" s="7" t="n"/>
    </row>
    <row r="215" ht="15.75" customHeight="1" s="19">
      <c r="M215" s="7" t="n"/>
    </row>
    <row r="216" ht="15.75" customHeight="1" s="19">
      <c r="M216" s="7" t="n"/>
    </row>
    <row r="217" ht="15.75" customHeight="1" s="19">
      <c r="M217" s="7" t="n"/>
    </row>
    <row r="218" ht="15.75" customHeight="1" s="19">
      <c r="M218" s="7" t="n"/>
    </row>
    <row r="219" ht="15.75" customHeight="1" s="19">
      <c r="M219" s="7" t="n"/>
    </row>
    <row r="220" ht="15.75" customHeight="1" s="19">
      <c r="M220" s="7" t="n"/>
    </row>
    <row r="221" ht="15.75" customHeight="1" s="19">
      <c r="M221" s="7" t="n"/>
    </row>
    <row r="222" ht="15.75" customHeight="1" s="19">
      <c r="M222" s="7" t="n"/>
    </row>
    <row r="223" ht="15.75" customHeight="1" s="19">
      <c r="M223" s="7" t="n"/>
    </row>
    <row r="224" ht="15.75" customHeight="1" s="19">
      <c r="M224" s="7" t="n"/>
    </row>
    <row r="225" ht="15.75" customHeight="1" s="19">
      <c r="M225" s="7" t="n"/>
    </row>
    <row r="226" ht="15.75" customHeight="1" s="19">
      <c r="M226" s="7" t="n"/>
    </row>
    <row r="227" ht="15.75" customHeight="1" s="19">
      <c r="M227" s="7" t="n"/>
    </row>
    <row r="228" ht="15.75" customHeight="1" s="19">
      <c r="M228" s="7" t="n"/>
    </row>
    <row r="229" ht="15.75" customHeight="1" s="19">
      <c r="M229" s="7" t="n"/>
    </row>
    <row r="230" ht="15.75" customHeight="1" s="19">
      <c r="M230" s="7" t="n"/>
    </row>
    <row r="231" ht="15.75" customHeight="1" s="19">
      <c r="M231" s="7" t="n"/>
    </row>
    <row r="232" ht="15.75" customHeight="1" s="19">
      <c r="M232" s="7" t="n"/>
    </row>
    <row r="233" ht="15.75" customHeight="1" s="19">
      <c r="M233" s="7" t="n"/>
    </row>
    <row r="234" ht="15.75" customHeight="1" s="19">
      <c r="M234" s="7" t="n"/>
    </row>
    <row r="235" ht="15.75" customHeight="1" s="19">
      <c r="M235" s="7" t="n"/>
    </row>
    <row r="236" ht="15.75" customHeight="1" s="19">
      <c r="M236" s="7" t="n"/>
    </row>
    <row r="237" ht="15.75" customHeight="1" s="19">
      <c r="M237" s="7" t="n"/>
    </row>
    <row r="238" ht="15.75" customHeight="1" s="19">
      <c r="M238" s="7" t="n"/>
    </row>
    <row r="239" ht="15.75" customHeight="1" s="19">
      <c r="M239" s="7" t="n"/>
    </row>
    <row r="240" ht="15.75" customHeight="1" s="19">
      <c r="M240" s="7" t="n"/>
    </row>
    <row r="241" ht="15.75" customHeight="1" s="19">
      <c r="M241" s="7" t="n"/>
    </row>
    <row r="242" ht="15.75" customHeight="1" s="19">
      <c r="M242" s="7" t="n"/>
    </row>
    <row r="243" ht="15.75" customHeight="1" s="19">
      <c r="M243" s="7" t="n"/>
    </row>
    <row r="244" ht="15.75" customHeight="1" s="19">
      <c r="M244" s="7" t="n"/>
    </row>
    <row r="245" ht="15.75" customHeight="1" s="19">
      <c r="M245" s="7" t="n"/>
    </row>
    <row r="246" ht="15.75" customHeight="1" s="19">
      <c r="M246" s="7" t="n"/>
    </row>
    <row r="247" ht="15.75" customHeight="1" s="19">
      <c r="M247" s="7" t="n"/>
    </row>
    <row r="248" ht="15.75" customHeight="1" s="19">
      <c r="M248" s="7" t="n"/>
    </row>
    <row r="249" ht="15.75" customHeight="1" s="19">
      <c r="M249" s="7" t="n"/>
    </row>
    <row r="250" ht="15.75" customHeight="1" s="19">
      <c r="M250" s="7" t="n"/>
    </row>
    <row r="251" ht="15.75" customHeight="1" s="19">
      <c r="M251" s="7" t="n"/>
    </row>
    <row r="252" ht="15.75" customHeight="1" s="19">
      <c r="M252" s="7" t="n"/>
    </row>
    <row r="253" ht="15.75" customHeight="1" s="19">
      <c r="M253" s="7" t="n"/>
    </row>
    <row r="254" ht="15.75" customHeight="1" s="19">
      <c r="M254" s="7" t="n"/>
    </row>
    <row r="255" ht="15.75" customHeight="1" s="19">
      <c r="M255" s="7" t="n"/>
    </row>
    <row r="256" ht="15.75" customHeight="1" s="19">
      <c r="M256" s="7" t="n"/>
    </row>
    <row r="257" ht="15.75" customHeight="1" s="19">
      <c r="M257" s="7" t="n"/>
    </row>
    <row r="258" ht="15.75" customHeight="1" s="19">
      <c r="M258" s="7" t="n"/>
    </row>
    <row r="259" ht="15.75" customHeight="1" s="19">
      <c r="M259" s="7" t="n"/>
    </row>
    <row r="260" ht="15.75" customHeight="1" s="19">
      <c r="M260" s="7" t="n"/>
    </row>
    <row r="261" ht="15.75" customHeight="1" s="19">
      <c r="M261" s="7" t="n"/>
    </row>
    <row r="262" ht="15.75" customHeight="1" s="19">
      <c r="M262" s="7" t="n"/>
    </row>
    <row r="263" ht="15.75" customHeight="1" s="19">
      <c r="M263" s="7" t="n"/>
    </row>
    <row r="264" ht="15.75" customHeight="1" s="19">
      <c r="M264" s="7" t="n"/>
    </row>
    <row r="265" ht="15.75" customHeight="1" s="19">
      <c r="M265" s="7" t="n"/>
    </row>
    <row r="266" ht="15.75" customHeight="1" s="19">
      <c r="M266" s="7" t="n"/>
    </row>
    <row r="267" ht="15.75" customHeight="1" s="19">
      <c r="M267" s="7" t="n"/>
    </row>
    <row r="268" ht="15.75" customHeight="1" s="19">
      <c r="M268" s="7" t="n"/>
    </row>
    <row r="269" ht="15.75" customHeight="1" s="19">
      <c r="M269" s="7" t="n"/>
    </row>
    <row r="270" ht="15.75" customHeight="1" s="19">
      <c r="M270" s="7" t="n"/>
    </row>
    <row r="271" ht="15.75" customHeight="1" s="19">
      <c r="M271" s="7" t="n"/>
    </row>
    <row r="272" ht="15.75" customHeight="1" s="19">
      <c r="M272" s="7" t="n"/>
    </row>
    <row r="273" ht="15.75" customHeight="1" s="19">
      <c r="M273" s="7" t="n"/>
    </row>
    <row r="274" ht="15.75" customHeight="1" s="19">
      <c r="M274" s="7" t="n"/>
    </row>
    <row r="275" ht="15.75" customHeight="1" s="19">
      <c r="M275" s="7" t="n"/>
    </row>
    <row r="276" ht="15.75" customHeight="1" s="19">
      <c r="M276" s="7" t="n"/>
    </row>
    <row r="277" ht="15.75" customHeight="1" s="19">
      <c r="M277" s="7" t="n"/>
    </row>
    <row r="278" ht="15.75" customHeight="1" s="19">
      <c r="M278" s="7" t="n"/>
    </row>
    <row r="279" ht="15.75" customHeight="1" s="19">
      <c r="M279" s="7" t="n"/>
    </row>
    <row r="280" ht="15.75" customHeight="1" s="19">
      <c r="M280" s="7" t="n"/>
    </row>
    <row r="281" ht="15.75" customHeight="1" s="19">
      <c r="M281" s="7" t="n"/>
    </row>
    <row r="282" ht="15.75" customHeight="1" s="19">
      <c r="M282" s="7" t="n"/>
    </row>
    <row r="283" ht="15.75" customHeight="1" s="19">
      <c r="M283" s="7" t="n"/>
    </row>
    <row r="284" ht="15.75" customHeight="1" s="19">
      <c r="M284" s="7" t="n"/>
    </row>
    <row r="285" ht="15.75" customHeight="1" s="19">
      <c r="M285" s="7" t="n"/>
    </row>
    <row r="286" ht="15.75" customHeight="1" s="19">
      <c r="M286" s="7" t="n"/>
    </row>
    <row r="287" ht="15.75" customHeight="1" s="19">
      <c r="M287" s="7" t="n"/>
    </row>
    <row r="288" ht="15.75" customHeight="1" s="19">
      <c r="M288" s="7" t="n"/>
    </row>
    <row r="289" ht="15.75" customHeight="1" s="19">
      <c r="M289" s="7" t="n"/>
    </row>
    <row r="290" ht="15.75" customHeight="1" s="19">
      <c r="M290" s="7" t="n"/>
    </row>
    <row r="291" ht="15.75" customHeight="1" s="19">
      <c r="M291" s="7" t="n"/>
    </row>
    <row r="292" ht="15.75" customHeight="1" s="19">
      <c r="M292" s="7" t="n"/>
    </row>
    <row r="293" ht="15.75" customHeight="1" s="19">
      <c r="M293" s="7" t="n"/>
    </row>
    <row r="294" ht="15.75" customHeight="1" s="19">
      <c r="M294" s="7" t="n"/>
    </row>
    <row r="295" ht="15.75" customHeight="1" s="19">
      <c r="M295" s="7" t="n"/>
    </row>
    <row r="296" ht="15.75" customHeight="1" s="19">
      <c r="M296" s="7" t="n"/>
    </row>
    <row r="297" ht="15.75" customHeight="1" s="19">
      <c r="M297" s="7" t="n"/>
    </row>
    <row r="298" ht="15.75" customHeight="1" s="19">
      <c r="M298" s="7" t="n"/>
    </row>
    <row r="299" ht="15.75" customHeight="1" s="19">
      <c r="M299" s="7" t="n"/>
    </row>
    <row r="300" ht="15.75" customHeight="1" s="19">
      <c r="M300" s="7" t="n"/>
    </row>
    <row r="301" ht="15.75" customHeight="1" s="19">
      <c r="M301" s="7" t="n"/>
    </row>
    <row r="302" ht="15.75" customHeight="1" s="19">
      <c r="M302" s="7" t="n"/>
    </row>
    <row r="303" ht="15.75" customHeight="1" s="19">
      <c r="M303" s="7" t="n"/>
    </row>
    <row r="304" ht="15.75" customHeight="1" s="19">
      <c r="M304" s="7" t="n"/>
    </row>
    <row r="305" ht="15.75" customHeight="1" s="19">
      <c r="M305" s="7" t="n"/>
    </row>
    <row r="306" ht="15.75" customHeight="1" s="19">
      <c r="M306" s="7" t="n"/>
    </row>
    <row r="307" ht="15.75" customHeight="1" s="19">
      <c r="M307" s="7" t="n"/>
    </row>
    <row r="308" ht="15.75" customHeight="1" s="19">
      <c r="M308" s="7" t="n"/>
    </row>
    <row r="309" ht="15.75" customHeight="1" s="19">
      <c r="M309" s="7" t="n"/>
    </row>
    <row r="310" ht="15.75" customHeight="1" s="19">
      <c r="M310" s="7" t="n"/>
    </row>
    <row r="311" ht="15.75" customHeight="1" s="19">
      <c r="M311" s="7" t="n"/>
    </row>
    <row r="312" ht="15.75" customHeight="1" s="19">
      <c r="M312" s="7" t="n"/>
    </row>
    <row r="313" ht="15.75" customHeight="1" s="19">
      <c r="M313" s="7" t="n"/>
    </row>
    <row r="314" ht="15.75" customHeight="1" s="19">
      <c r="M314" s="7" t="n"/>
    </row>
    <row r="315" ht="15.75" customHeight="1" s="19">
      <c r="M315" s="7" t="n"/>
    </row>
    <row r="316" ht="15.75" customHeight="1" s="19">
      <c r="M316" s="7" t="n"/>
    </row>
    <row r="317" ht="15.75" customHeight="1" s="19">
      <c r="M317" s="7" t="n"/>
    </row>
    <row r="318" ht="15.75" customHeight="1" s="19">
      <c r="M318" s="7" t="n"/>
    </row>
    <row r="319" ht="15.75" customHeight="1" s="19">
      <c r="M319" s="7" t="n"/>
    </row>
    <row r="320" ht="15.75" customHeight="1" s="19">
      <c r="M320" s="7" t="n"/>
    </row>
    <row r="321" ht="15.75" customHeight="1" s="19">
      <c r="M321" s="7" t="n"/>
    </row>
    <row r="322" ht="15.75" customHeight="1" s="19">
      <c r="M322" s="18" t="n"/>
    </row>
    <row r="323" ht="15.75" customHeight="1" s="19">
      <c r="M323" s="18" t="n"/>
    </row>
    <row r="324" ht="15.75" customHeight="1" s="19">
      <c r="M324" s="18" t="n"/>
    </row>
    <row r="325" ht="15.75" customHeight="1" s="19">
      <c r="M325" s="18" t="n"/>
    </row>
    <row r="326" ht="15.75" customHeight="1" s="19">
      <c r="M326" s="18" t="n"/>
    </row>
    <row r="327" ht="15.75" customHeight="1" s="19">
      <c r="M327" s="18" t="n"/>
    </row>
    <row r="328" ht="15.75" customHeight="1" s="19">
      <c r="M328" s="18" t="n"/>
    </row>
    <row r="329" ht="15.75" customHeight="1" s="19">
      <c r="M329" s="18" t="n"/>
    </row>
    <row r="330" ht="15.75" customHeight="1" s="19">
      <c r="M330" s="18" t="n"/>
    </row>
    <row r="331" ht="15.75" customHeight="1" s="19">
      <c r="M331" s="18" t="n"/>
    </row>
    <row r="332" ht="15.75" customHeight="1" s="19">
      <c r="M332" s="18" t="n"/>
    </row>
    <row r="333" ht="15.75" customHeight="1" s="19">
      <c r="M333" s="18" t="n"/>
    </row>
    <row r="334" ht="15.75" customHeight="1" s="19">
      <c r="M334" s="18" t="n"/>
    </row>
    <row r="335" ht="15.75" customHeight="1" s="19">
      <c r="M335" s="18" t="n"/>
    </row>
    <row r="336" ht="15.75" customHeight="1" s="19">
      <c r="M336" s="18" t="n"/>
    </row>
    <row r="337" ht="15.75" customHeight="1" s="19">
      <c r="M337" s="18" t="n"/>
    </row>
    <row r="338" ht="15.75" customHeight="1" s="19">
      <c r="M338" s="18" t="n"/>
    </row>
    <row r="339" ht="15.75" customHeight="1" s="19">
      <c r="M339" s="18" t="n"/>
    </row>
    <row r="340" ht="15.75" customHeight="1" s="19">
      <c r="M340" s="18" t="n"/>
    </row>
    <row r="341" ht="15.75" customHeight="1" s="19">
      <c r="M341" s="18" t="n"/>
    </row>
    <row r="342" ht="15.75" customHeight="1" s="19">
      <c r="M342" s="18" t="n"/>
    </row>
    <row r="343" ht="15.75" customHeight="1" s="19">
      <c r="M343" s="18" t="n"/>
    </row>
    <row r="344" ht="15.75" customHeight="1" s="19">
      <c r="M344" s="18" t="n"/>
    </row>
    <row r="345" ht="15.75" customHeight="1" s="19">
      <c r="M345" s="18" t="n"/>
    </row>
    <row r="346" ht="15.75" customHeight="1" s="19">
      <c r="M346" s="18" t="n"/>
    </row>
    <row r="347" ht="15.75" customHeight="1" s="19">
      <c r="M347" s="18" t="n"/>
    </row>
    <row r="348" ht="15.75" customHeight="1" s="19">
      <c r="M348" s="18" t="n"/>
    </row>
    <row r="349" ht="15.75" customHeight="1" s="19">
      <c r="M349" s="18" t="n"/>
    </row>
    <row r="350" ht="15.75" customHeight="1" s="19">
      <c r="M350" s="18" t="n"/>
    </row>
    <row r="351" ht="15.75" customHeight="1" s="19">
      <c r="M351" s="18" t="n"/>
    </row>
    <row r="352" ht="15.75" customHeight="1" s="19">
      <c r="M352" s="18" t="n"/>
    </row>
    <row r="353" ht="15.75" customHeight="1" s="19">
      <c r="M353" s="18" t="n"/>
    </row>
    <row r="354" ht="15.75" customHeight="1" s="19">
      <c r="M354" s="18" t="n"/>
    </row>
    <row r="355" ht="15.75" customHeight="1" s="19">
      <c r="M355" s="18" t="n"/>
    </row>
    <row r="356" ht="15.75" customHeight="1" s="19">
      <c r="M356" s="18" t="n"/>
    </row>
    <row r="357" ht="15.75" customHeight="1" s="19">
      <c r="M357" s="18" t="n"/>
    </row>
    <row r="358" ht="15.75" customHeight="1" s="19">
      <c r="M358" s="18" t="n"/>
    </row>
    <row r="359" ht="15.75" customHeight="1" s="19">
      <c r="M359" s="18" t="n"/>
    </row>
    <row r="360" ht="15.75" customHeight="1" s="19">
      <c r="M360" s="18" t="n"/>
    </row>
    <row r="361" ht="15.75" customHeight="1" s="19">
      <c r="M361" s="18" t="n"/>
    </row>
    <row r="362" ht="15.75" customHeight="1" s="19">
      <c r="M362" s="18" t="n"/>
    </row>
    <row r="363" ht="15.75" customHeight="1" s="19">
      <c r="M363" s="18" t="n"/>
    </row>
    <row r="364" ht="15.75" customHeight="1" s="19">
      <c r="M364" s="18" t="n"/>
    </row>
    <row r="365" ht="15.75" customHeight="1" s="19">
      <c r="M365" s="18" t="n"/>
    </row>
    <row r="366" ht="15.75" customHeight="1" s="19">
      <c r="M366" s="18" t="n"/>
    </row>
    <row r="367" ht="15.75" customHeight="1" s="19">
      <c r="M367" s="18" t="n"/>
    </row>
    <row r="368" ht="15.75" customHeight="1" s="19">
      <c r="M368" s="18" t="n"/>
    </row>
    <row r="369" ht="15.75" customHeight="1" s="19">
      <c r="M369" s="18" t="n"/>
    </row>
    <row r="370" ht="15.75" customHeight="1" s="19">
      <c r="M370" s="18" t="n"/>
    </row>
    <row r="371" ht="15.75" customHeight="1" s="19">
      <c r="M371" s="18" t="n"/>
    </row>
    <row r="372" ht="15.75" customHeight="1" s="19">
      <c r="M372" s="18" t="n"/>
    </row>
    <row r="373" ht="15.75" customHeight="1" s="19">
      <c r="M373" s="18" t="n"/>
    </row>
    <row r="374" ht="15.75" customHeight="1" s="19">
      <c r="M374" s="18" t="n"/>
    </row>
    <row r="375" ht="15.75" customHeight="1" s="19">
      <c r="M375" s="18" t="n"/>
    </row>
    <row r="376" ht="15.75" customHeight="1" s="19">
      <c r="M376" s="18" t="n"/>
    </row>
    <row r="377" ht="15.75" customHeight="1" s="19">
      <c r="M377" s="18" t="n"/>
    </row>
    <row r="378" ht="15.75" customHeight="1" s="19">
      <c r="M378" s="18" t="n"/>
    </row>
    <row r="379" ht="15.75" customHeight="1" s="19">
      <c r="M379" s="18" t="n"/>
    </row>
    <row r="380" ht="15.75" customHeight="1" s="19">
      <c r="M380" s="18" t="n"/>
    </row>
    <row r="381" ht="15.75" customHeight="1" s="19">
      <c r="M381" s="18" t="n"/>
    </row>
    <row r="382" ht="15.75" customHeight="1" s="19">
      <c r="M382" s="18" t="n"/>
    </row>
    <row r="383" ht="15.75" customHeight="1" s="19">
      <c r="M383" s="18" t="n"/>
    </row>
    <row r="384" ht="15.75" customHeight="1" s="19">
      <c r="M384" s="18" t="n"/>
    </row>
    <row r="385" ht="15.75" customHeight="1" s="19">
      <c r="M385" s="18" t="n"/>
    </row>
    <row r="386" ht="15.75" customHeight="1" s="19">
      <c r="M386" s="18" t="n"/>
    </row>
    <row r="387" ht="15.75" customHeight="1" s="19">
      <c r="M387" s="18" t="n"/>
    </row>
    <row r="388" ht="15.75" customHeight="1" s="19">
      <c r="M388" s="18" t="n"/>
    </row>
    <row r="389" ht="15.75" customHeight="1" s="19">
      <c r="M389" s="18" t="n"/>
    </row>
    <row r="390" ht="15.75" customHeight="1" s="19">
      <c r="M390" s="18" t="n"/>
    </row>
    <row r="391" ht="15.75" customHeight="1" s="19">
      <c r="M391" s="18" t="n"/>
    </row>
    <row r="392" ht="15.75" customHeight="1" s="19">
      <c r="M392" s="18" t="n"/>
    </row>
    <row r="393" ht="15.75" customHeight="1" s="19">
      <c r="M393" s="18" t="n"/>
    </row>
    <row r="394" ht="15.75" customHeight="1" s="19">
      <c r="M394" s="18" t="n"/>
    </row>
    <row r="395" ht="15.75" customHeight="1" s="19">
      <c r="M395" s="18" t="n"/>
    </row>
    <row r="396" ht="15.75" customHeight="1" s="19">
      <c r="M396" s="18" t="n"/>
    </row>
    <row r="397" ht="15.75" customHeight="1" s="19">
      <c r="M397" s="18" t="n"/>
    </row>
    <row r="398" ht="15.75" customHeight="1" s="19">
      <c r="M398" s="18" t="n"/>
    </row>
    <row r="399" ht="15.75" customHeight="1" s="19">
      <c r="M399" s="18" t="n"/>
    </row>
    <row r="400" ht="15.75" customHeight="1" s="19">
      <c r="M400" s="18" t="n"/>
    </row>
    <row r="401" ht="15.75" customHeight="1" s="19">
      <c r="M401" s="18" t="n"/>
    </row>
    <row r="402" ht="15.75" customHeight="1" s="19">
      <c r="M402" s="18" t="n"/>
    </row>
    <row r="403" ht="15.75" customHeight="1" s="19">
      <c r="M403" s="18" t="n"/>
    </row>
    <row r="404" ht="15.75" customHeight="1" s="19">
      <c r="M404" s="18" t="n"/>
    </row>
    <row r="405" ht="15.75" customHeight="1" s="19">
      <c r="M405" s="18" t="n"/>
    </row>
    <row r="406" ht="15.75" customHeight="1" s="19">
      <c r="M406" s="18" t="n"/>
    </row>
    <row r="407" ht="15.75" customHeight="1" s="19">
      <c r="M407" s="18" t="n"/>
    </row>
    <row r="408" ht="15.75" customHeight="1" s="19">
      <c r="M408" s="18" t="n"/>
    </row>
    <row r="409" ht="15.75" customHeight="1" s="19">
      <c r="M409" s="18" t="n"/>
    </row>
    <row r="410" ht="15.75" customHeight="1" s="19">
      <c r="M410" s="18" t="n"/>
    </row>
    <row r="411" ht="15.75" customHeight="1" s="19">
      <c r="M411" s="18" t="n"/>
    </row>
    <row r="412" ht="15.75" customHeight="1" s="19">
      <c r="M412" s="18" t="n"/>
    </row>
    <row r="413" ht="15.75" customHeight="1" s="19">
      <c r="M413" s="18" t="n"/>
    </row>
    <row r="414" ht="15.75" customHeight="1" s="19">
      <c r="M414" s="18" t="n"/>
    </row>
    <row r="415" ht="15.75" customHeight="1" s="19">
      <c r="M415" s="18" t="n"/>
    </row>
    <row r="416" ht="15.75" customHeight="1" s="19">
      <c r="M416" s="18" t="n"/>
    </row>
    <row r="417" ht="15.75" customHeight="1" s="19">
      <c r="M417" s="18" t="n"/>
    </row>
    <row r="418" ht="15.75" customHeight="1" s="19">
      <c r="M418" s="18" t="n"/>
    </row>
    <row r="419" ht="15.75" customHeight="1" s="19">
      <c r="M419" s="18" t="n"/>
    </row>
    <row r="420" ht="15.75" customHeight="1" s="19">
      <c r="M420" s="18" t="n"/>
    </row>
    <row r="421" ht="15.75" customHeight="1" s="19">
      <c r="M421" s="18" t="n"/>
    </row>
    <row r="422" ht="15.75" customHeight="1" s="19">
      <c r="M422" s="18" t="n"/>
    </row>
    <row r="423" ht="15.75" customHeight="1" s="19">
      <c r="M423" s="18" t="n"/>
    </row>
    <row r="424" ht="15.75" customHeight="1" s="19">
      <c r="M424" s="18" t="n"/>
    </row>
    <row r="425" ht="15.75" customHeight="1" s="19">
      <c r="M425" s="18" t="n"/>
    </row>
    <row r="426" ht="15.75" customHeight="1" s="19">
      <c r="M426" s="18" t="n"/>
    </row>
    <row r="427" ht="15.75" customHeight="1" s="19">
      <c r="M427" s="18" t="n"/>
    </row>
    <row r="428" ht="15.75" customHeight="1" s="19">
      <c r="M428" s="18" t="n"/>
    </row>
    <row r="429" ht="15.75" customHeight="1" s="19">
      <c r="M429" s="18" t="n"/>
    </row>
    <row r="430" ht="15.75" customHeight="1" s="19">
      <c r="M430" s="18" t="n"/>
    </row>
    <row r="431" ht="15.75" customHeight="1" s="19">
      <c r="M431" s="18" t="n"/>
    </row>
    <row r="432" ht="15.75" customHeight="1" s="19">
      <c r="M432" s="18" t="n"/>
    </row>
    <row r="433" ht="15.75" customHeight="1" s="19">
      <c r="M433" s="18" t="n"/>
    </row>
    <row r="434" ht="15.75" customHeight="1" s="19">
      <c r="M434" s="18" t="n"/>
    </row>
    <row r="435" ht="15.75" customHeight="1" s="19">
      <c r="M435" s="18" t="n"/>
    </row>
    <row r="436" ht="15.75" customHeight="1" s="19">
      <c r="M436" s="18" t="n"/>
    </row>
    <row r="437" ht="15.75" customHeight="1" s="19">
      <c r="M437" s="18" t="n"/>
    </row>
    <row r="438" ht="15.75" customHeight="1" s="19">
      <c r="M438" s="18" t="n"/>
    </row>
    <row r="439" ht="15.75" customHeight="1" s="19">
      <c r="M439" s="18" t="n"/>
    </row>
    <row r="440" ht="15.75" customHeight="1" s="19">
      <c r="M440" s="18" t="n"/>
    </row>
    <row r="441" ht="15.75" customHeight="1" s="19">
      <c r="M441" s="18" t="n"/>
    </row>
    <row r="442" ht="15.75" customHeight="1" s="19">
      <c r="M442" s="18" t="n"/>
    </row>
    <row r="443" ht="15.75" customHeight="1" s="19">
      <c r="M443" s="18" t="n"/>
    </row>
    <row r="444" ht="15.75" customHeight="1" s="19">
      <c r="M444" s="18" t="n"/>
    </row>
    <row r="445" ht="15.75" customHeight="1" s="19">
      <c r="M445" s="18" t="n"/>
    </row>
    <row r="446" ht="15.75" customHeight="1" s="19">
      <c r="M446" s="18" t="n"/>
    </row>
    <row r="447" ht="15.75" customHeight="1" s="19">
      <c r="M447" s="18" t="n"/>
    </row>
    <row r="448" ht="15.75" customHeight="1" s="19">
      <c r="M448" s="18" t="n"/>
    </row>
    <row r="449" ht="15.75" customHeight="1" s="19">
      <c r="M449" s="18" t="n"/>
    </row>
    <row r="450" ht="15.75" customHeight="1" s="19">
      <c r="M450" s="18" t="n"/>
    </row>
    <row r="451" ht="15.75" customHeight="1" s="19">
      <c r="M451" s="18" t="n"/>
    </row>
    <row r="452" ht="15.75" customHeight="1" s="19">
      <c r="M452" s="18" t="n"/>
    </row>
    <row r="453" ht="15.75" customHeight="1" s="19">
      <c r="M453" s="18" t="n"/>
    </row>
    <row r="454" ht="15.75" customHeight="1" s="19">
      <c r="M454" s="18" t="n"/>
    </row>
    <row r="455" ht="15.75" customHeight="1" s="19">
      <c r="M455" s="18" t="n"/>
    </row>
    <row r="456" ht="15.75" customHeight="1" s="19">
      <c r="M456" s="18" t="n"/>
    </row>
    <row r="457" ht="15.75" customHeight="1" s="19">
      <c r="M457" s="18" t="n"/>
    </row>
    <row r="458" ht="15.75" customHeight="1" s="19">
      <c r="M458" s="18" t="n"/>
    </row>
    <row r="459" ht="15.75" customHeight="1" s="19">
      <c r="M459" s="18" t="n"/>
    </row>
    <row r="460" ht="15.75" customHeight="1" s="19">
      <c r="M460" s="18" t="n"/>
    </row>
    <row r="461" ht="15.75" customHeight="1" s="19">
      <c r="M461" s="18" t="n"/>
    </row>
    <row r="462" ht="15.75" customHeight="1" s="19">
      <c r="M462" s="18" t="n"/>
    </row>
    <row r="463" ht="15.75" customHeight="1" s="19">
      <c r="M463" s="18" t="n"/>
    </row>
    <row r="464" ht="15.75" customHeight="1" s="19">
      <c r="M464" s="18" t="n"/>
    </row>
    <row r="465" ht="15.75" customHeight="1" s="19">
      <c r="M465" s="18" t="n"/>
    </row>
    <row r="466" ht="15.75" customHeight="1" s="19">
      <c r="M466" s="18" t="n"/>
    </row>
    <row r="467" ht="15.75" customHeight="1" s="19">
      <c r="M467" s="18" t="n"/>
    </row>
    <row r="468" ht="15.75" customHeight="1" s="19">
      <c r="M468" s="18" t="n"/>
    </row>
    <row r="469" ht="15.75" customHeight="1" s="19">
      <c r="M469" s="18" t="n"/>
    </row>
    <row r="470" ht="15.75" customHeight="1" s="19">
      <c r="M470" s="18" t="n"/>
    </row>
    <row r="471" ht="15.75" customHeight="1" s="19">
      <c r="M471" s="18" t="n"/>
    </row>
    <row r="472" ht="15.75" customHeight="1" s="19">
      <c r="M472" s="18" t="n"/>
    </row>
    <row r="473" ht="15.75" customHeight="1" s="19">
      <c r="M473" s="18" t="n"/>
    </row>
    <row r="474" ht="15.75" customHeight="1" s="19">
      <c r="M474" s="18" t="n"/>
    </row>
    <row r="475" ht="15.75" customHeight="1" s="19">
      <c r="M475" s="18" t="n"/>
    </row>
    <row r="476" ht="15.75" customHeight="1" s="19">
      <c r="M476" s="18" t="n"/>
    </row>
    <row r="477" ht="15.75" customHeight="1" s="19">
      <c r="M477" s="18" t="n"/>
    </row>
    <row r="478" ht="15.75" customHeight="1" s="19">
      <c r="M478" s="18" t="n"/>
    </row>
    <row r="479" ht="15.75" customHeight="1" s="19">
      <c r="M479" s="18" t="n"/>
    </row>
    <row r="480" ht="15.75" customHeight="1" s="19">
      <c r="M480" s="18" t="n"/>
    </row>
    <row r="481" ht="15.75" customHeight="1" s="19">
      <c r="M481" s="18" t="n"/>
    </row>
    <row r="482" ht="15.75" customHeight="1" s="19">
      <c r="M482" s="18" t="n"/>
    </row>
    <row r="483" ht="15.75" customHeight="1" s="19">
      <c r="M483" s="18" t="n"/>
    </row>
    <row r="484" ht="15.75" customHeight="1" s="19">
      <c r="M484" s="18" t="n"/>
    </row>
    <row r="485" ht="15.75" customHeight="1" s="19">
      <c r="M485" s="18" t="n"/>
    </row>
    <row r="486" ht="15.75" customHeight="1" s="19">
      <c r="M486" s="18" t="n"/>
    </row>
    <row r="487" ht="15.75" customHeight="1" s="19">
      <c r="M487" s="18" t="n"/>
    </row>
    <row r="488" ht="15.75" customHeight="1" s="19">
      <c r="M488" s="18" t="n"/>
    </row>
    <row r="489" ht="15.75" customHeight="1" s="19">
      <c r="M489" s="18" t="n"/>
    </row>
    <row r="490" ht="15.75" customHeight="1" s="19">
      <c r="M490" s="18" t="n"/>
    </row>
    <row r="491" ht="15.75" customHeight="1" s="19">
      <c r="M491" s="18" t="n"/>
    </row>
    <row r="492" ht="15.75" customHeight="1" s="19">
      <c r="M492" s="18" t="n"/>
    </row>
    <row r="493" ht="15.75" customHeight="1" s="19">
      <c r="M493" s="18" t="n"/>
    </row>
    <row r="494" ht="15.75" customHeight="1" s="19">
      <c r="M494" s="18" t="n"/>
    </row>
    <row r="495" ht="15.75" customHeight="1" s="19">
      <c r="M495" s="18" t="n"/>
    </row>
    <row r="496" ht="15.75" customHeight="1" s="19">
      <c r="M496" s="18" t="n"/>
    </row>
    <row r="497" ht="15.75" customHeight="1" s="19">
      <c r="M497" s="18" t="n"/>
    </row>
    <row r="498" ht="15.75" customHeight="1" s="19">
      <c r="M498" s="18" t="n"/>
    </row>
    <row r="499" ht="15.75" customHeight="1" s="19">
      <c r="M499" s="18" t="n"/>
    </row>
    <row r="500" ht="15.75" customHeight="1" s="19">
      <c r="M500" s="18" t="n"/>
    </row>
    <row r="501" ht="15.75" customHeight="1" s="19">
      <c r="M501" s="18" t="n"/>
    </row>
    <row r="502" ht="15.75" customHeight="1" s="19">
      <c r="M502" s="18" t="n"/>
    </row>
    <row r="503" ht="15.75" customHeight="1" s="19">
      <c r="M503" s="18" t="n"/>
    </row>
    <row r="504" ht="15.75" customHeight="1" s="19">
      <c r="M504" s="18" t="n"/>
    </row>
    <row r="505" ht="15.75" customHeight="1" s="19">
      <c r="M505" s="18" t="n"/>
    </row>
    <row r="506" ht="15.75" customHeight="1" s="19">
      <c r="M506" s="18" t="n"/>
    </row>
    <row r="507" ht="15.75" customHeight="1" s="19">
      <c r="M507" s="18" t="n"/>
    </row>
    <row r="508" ht="15.75" customHeight="1" s="19">
      <c r="M508" s="18" t="n"/>
    </row>
    <row r="509" ht="15.75" customHeight="1" s="19">
      <c r="M509" s="18" t="n"/>
    </row>
    <row r="510" ht="15.75" customHeight="1" s="19">
      <c r="M510" s="18" t="n"/>
    </row>
    <row r="511" ht="15.75" customHeight="1" s="19">
      <c r="M511" s="18" t="n"/>
    </row>
    <row r="512" ht="15.75" customHeight="1" s="19">
      <c r="M512" s="18" t="n"/>
    </row>
    <row r="513" ht="15.75" customHeight="1" s="19">
      <c r="M513" s="18" t="n"/>
    </row>
    <row r="514" ht="15.75" customHeight="1" s="19">
      <c r="M514" s="18" t="n"/>
    </row>
    <row r="515" ht="15.75" customHeight="1" s="19">
      <c r="M515" s="18" t="n"/>
    </row>
    <row r="516" ht="15.75" customHeight="1" s="19">
      <c r="M516" s="18" t="n"/>
    </row>
    <row r="517" ht="15.75" customHeight="1" s="19">
      <c r="M517" s="18" t="n"/>
    </row>
    <row r="518" ht="15.75" customHeight="1" s="19">
      <c r="M518" s="18" t="n"/>
    </row>
    <row r="519" ht="15.75" customHeight="1" s="19">
      <c r="M519" s="18" t="n"/>
    </row>
    <row r="520" ht="15.75" customHeight="1" s="19">
      <c r="M520" s="18" t="n"/>
    </row>
    <row r="521" ht="15.75" customHeight="1" s="19">
      <c r="M521" s="18" t="n"/>
    </row>
    <row r="522" ht="15.75" customHeight="1" s="19">
      <c r="M522" s="18" t="n"/>
    </row>
    <row r="523" ht="15.75" customHeight="1" s="19">
      <c r="M523" s="18" t="n"/>
    </row>
    <row r="524" ht="15.75" customHeight="1" s="19">
      <c r="M524" s="18" t="n"/>
    </row>
    <row r="525" ht="15.75" customHeight="1" s="19">
      <c r="M525" s="18" t="n"/>
    </row>
    <row r="526" ht="15.75" customHeight="1" s="19">
      <c r="M526" s="18" t="n"/>
    </row>
    <row r="527" ht="15.75" customHeight="1" s="19">
      <c r="M527" s="18" t="n"/>
    </row>
    <row r="528" ht="15.75" customHeight="1" s="19">
      <c r="M528" s="18" t="n"/>
    </row>
    <row r="529" ht="15.75" customHeight="1" s="19">
      <c r="M529" s="18" t="n"/>
    </row>
    <row r="530" ht="15.75" customHeight="1" s="19">
      <c r="M530" s="18" t="n"/>
    </row>
    <row r="531" ht="15.75" customHeight="1" s="19">
      <c r="M531" s="18" t="n"/>
    </row>
    <row r="532" ht="15.75" customHeight="1" s="19">
      <c r="M532" s="18" t="n"/>
    </row>
    <row r="533" ht="15.75" customHeight="1" s="19">
      <c r="M533" s="18" t="n"/>
    </row>
    <row r="534" ht="15.75" customHeight="1" s="19">
      <c r="M534" s="18" t="n"/>
    </row>
    <row r="535" ht="15.75" customHeight="1" s="19">
      <c r="M535" s="18" t="n"/>
    </row>
    <row r="536" ht="15.75" customHeight="1" s="19">
      <c r="M536" s="18" t="n"/>
    </row>
    <row r="537" ht="15.75" customHeight="1" s="19">
      <c r="M537" s="18" t="n"/>
    </row>
    <row r="538" ht="15.75" customHeight="1" s="19">
      <c r="M538" s="18" t="n"/>
    </row>
    <row r="539" ht="15.75" customHeight="1" s="19">
      <c r="M539" s="18" t="n"/>
    </row>
    <row r="540" ht="15.75" customHeight="1" s="19">
      <c r="M540" s="18" t="n"/>
    </row>
    <row r="541" ht="15.75" customHeight="1" s="19">
      <c r="M541" s="18" t="n"/>
    </row>
    <row r="542" ht="15.75" customHeight="1" s="19">
      <c r="M542" s="18" t="n"/>
    </row>
    <row r="543" ht="15.75" customHeight="1" s="19">
      <c r="M543" s="18" t="n"/>
    </row>
    <row r="544" ht="15.75" customHeight="1" s="19">
      <c r="M544" s="18" t="n"/>
    </row>
    <row r="545" ht="15.75" customHeight="1" s="19">
      <c r="M545" s="18" t="n"/>
    </row>
    <row r="546" ht="15.75" customHeight="1" s="19">
      <c r="M546" s="18" t="n"/>
    </row>
    <row r="547" ht="15.75" customHeight="1" s="19">
      <c r="M547" s="18" t="n"/>
    </row>
    <row r="548" ht="15.75" customHeight="1" s="19">
      <c r="M548" s="18" t="n"/>
    </row>
    <row r="549" ht="15.75" customHeight="1" s="19">
      <c r="M549" s="18" t="n"/>
    </row>
    <row r="550" ht="15.75" customHeight="1" s="19">
      <c r="M550" s="18" t="n"/>
    </row>
    <row r="551" ht="15.75" customHeight="1" s="19">
      <c r="M551" s="18" t="n"/>
    </row>
    <row r="552" ht="15.75" customHeight="1" s="19">
      <c r="M552" s="18" t="n"/>
    </row>
    <row r="553" ht="15.75" customHeight="1" s="19">
      <c r="M553" s="18" t="n"/>
    </row>
    <row r="554" ht="15.75" customHeight="1" s="19">
      <c r="M554" s="18" t="n"/>
    </row>
    <row r="555" ht="15.75" customHeight="1" s="19">
      <c r="M555" s="18" t="n"/>
    </row>
    <row r="556" ht="15.75" customHeight="1" s="19">
      <c r="M556" s="18" t="n"/>
    </row>
    <row r="557" ht="15.75" customHeight="1" s="19">
      <c r="M557" s="18" t="n"/>
    </row>
    <row r="558" ht="15.75" customHeight="1" s="19">
      <c r="M558" s="18" t="n"/>
    </row>
    <row r="559" ht="15.75" customHeight="1" s="19">
      <c r="M559" s="18" t="n"/>
    </row>
    <row r="560" ht="15.75" customHeight="1" s="19">
      <c r="M560" s="18" t="n"/>
    </row>
    <row r="561" ht="15.75" customHeight="1" s="19">
      <c r="M561" s="18" t="n"/>
    </row>
    <row r="562" ht="15.75" customHeight="1" s="19">
      <c r="M562" s="18" t="n"/>
    </row>
    <row r="563" ht="15.75" customHeight="1" s="19">
      <c r="M563" s="18" t="n"/>
    </row>
    <row r="564" ht="15.75" customHeight="1" s="19">
      <c r="M564" s="18" t="n"/>
    </row>
    <row r="565" ht="15.75" customHeight="1" s="19">
      <c r="M565" s="18" t="n"/>
    </row>
    <row r="566" ht="15.75" customHeight="1" s="19">
      <c r="M566" s="18" t="n"/>
    </row>
    <row r="567" ht="15.75" customHeight="1" s="19">
      <c r="M567" s="18" t="n"/>
    </row>
    <row r="568" ht="15.75" customHeight="1" s="19">
      <c r="M568" s="18" t="n"/>
    </row>
    <row r="569" ht="15.75" customHeight="1" s="19">
      <c r="M569" s="18" t="n"/>
    </row>
    <row r="570" ht="15.75" customHeight="1" s="19">
      <c r="M570" s="18" t="n"/>
    </row>
    <row r="571" ht="15.75" customHeight="1" s="19">
      <c r="M571" s="18" t="n"/>
    </row>
    <row r="572" ht="15.75" customHeight="1" s="19">
      <c r="M572" s="18" t="n"/>
    </row>
    <row r="573" ht="15.75" customHeight="1" s="19">
      <c r="M573" s="18" t="n"/>
    </row>
    <row r="574" ht="15.75" customHeight="1" s="19">
      <c r="M574" s="18" t="n"/>
    </row>
    <row r="575" ht="15.75" customHeight="1" s="19">
      <c r="M575" s="18" t="n"/>
    </row>
    <row r="576" ht="15.75" customHeight="1" s="19">
      <c r="M576" s="18" t="n"/>
    </row>
    <row r="577" ht="15.75" customHeight="1" s="19">
      <c r="M577" s="18" t="n"/>
    </row>
    <row r="578" ht="15.75" customHeight="1" s="19">
      <c r="M578" s="18" t="n"/>
    </row>
    <row r="579" ht="15.75" customHeight="1" s="19">
      <c r="M579" s="18" t="n"/>
    </row>
    <row r="580" ht="15.75" customHeight="1" s="19">
      <c r="M580" s="18" t="n"/>
    </row>
    <row r="581" ht="15.75" customHeight="1" s="19">
      <c r="M581" s="18" t="n"/>
    </row>
    <row r="582" ht="15.75" customHeight="1" s="19">
      <c r="M582" s="18" t="n"/>
    </row>
    <row r="583" ht="15.75" customHeight="1" s="19">
      <c r="M583" s="18" t="n"/>
    </row>
    <row r="584" ht="15.75" customHeight="1" s="19">
      <c r="M584" s="18" t="n"/>
    </row>
    <row r="585" ht="15.75" customHeight="1" s="19">
      <c r="M585" s="18" t="n"/>
    </row>
    <row r="586" ht="15.75" customHeight="1" s="19">
      <c r="M586" s="18" t="n"/>
    </row>
    <row r="587" ht="15.75" customHeight="1" s="19">
      <c r="M587" s="18" t="n"/>
    </row>
    <row r="588" ht="15.75" customHeight="1" s="19">
      <c r="M588" s="18" t="n"/>
    </row>
    <row r="589" ht="15.75" customHeight="1" s="19">
      <c r="M589" s="18" t="n"/>
    </row>
    <row r="590" ht="15.75" customHeight="1" s="19">
      <c r="M590" s="18" t="n"/>
    </row>
    <row r="591" ht="15.75" customHeight="1" s="19">
      <c r="M591" s="18" t="n"/>
    </row>
    <row r="592" ht="15.75" customHeight="1" s="19">
      <c r="M592" s="18" t="n"/>
    </row>
    <row r="593" ht="15.75" customHeight="1" s="19">
      <c r="M593" s="18" t="n"/>
    </row>
    <row r="594" ht="15.75" customHeight="1" s="19">
      <c r="M594" s="18" t="n"/>
    </row>
    <row r="595" ht="15.75" customHeight="1" s="19">
      <c r="M595" s="18" t="n"/>
    </row>
    <row r="596" ht="15.75" customHeight="1" s="19">
      <c r="M596" s="18" t="n"/>
    </row>
    <row r="597" ht="15.75" customHeight="1" s="19">
      <c r="M597" s="18" t="n"/>
    </row>
    <row r="598" ht="15.75" customHeight="1" s="19">
      <c r="M598" s="18" t="n"/>
    </row>
    <row r="599" ht="15.75" customHeight="1" s="19">
      <c r="M599" s="18" t="n"/>
    </row>
    <row r="600" ht="15.75" customHeight="1" s="19">
      <c r="M600" s="18" t="n"/>
    </row>
    <row r="601" ht="15.75" customHeight="1" s="19">
      <c r="M601" s="18" t="n"/>
    </row>
    <row r="602" ht="15.75" customHeight="1" s="19">
      <c r="M602" s="18" t="n"/>
    </row>
    <row r="603" ht="15.75" customHeight="1" s="19">
      <c r="M603" s="18" t="n"/>
    </row>
    <row r="604" ht="15.75" customHeight="1" s="19">
      <c r="M604" s="18" t="n"/>
    </row>
    <row r="605" ht="15.75" customHeight="1" s="19">
      <c r="M605" s="18" t="n"/>
    </row>
    <row r="606" ht="15.75" customHeight="1" s="19">
      <c r="M606" s="18" t="n"/>
    </row>
    <row r="607" ht="15.75" customHeight="1" s="19">
      <c r="M607" s="18" t="n"/>
    </row>
    <row r="608" ht="15.75" customHeight="1" s="19">
      <c r="M608" s="18" t="n"/>
    </row>
    <row r="609" ht="15.75" customHeight="1" s="19">
      <c r="M609" s="18" t="n"/>
    </row>
    <row r="610" ht="15.75" customHeight="1" s="19">
      <c r="M610" s="18" t="n"/>
    </row>
    <row r="611" ht="15.75" customHeight="1" s="19">
      <c r="M611" s="18" t="n"/>
    </row>
    <row r="612" ht="15.75" customHeight="1" s="19">
      <c r="M612" s="18" t="n"/>
    </row>
    <row r="613" ht="15.75" customHeight="1" s="19">
      <c r="M613" s="18" t="n"/>
    </row>
    <row r="614" ht="15.75" customHeight="1" s="19">
      <c r="M614" s="18" t="n"/>
    </row>
    <row r="615" ht="15.75" customHeight="1" s="19">
      <c r="M615" s="18" t="n"/>
    </row>
    <row r="616" ht="15.75" customHeight="1" s="19">
      <c r="M616" s="18" t="n"/>
    </row>
    <row r="617" ht="15.75" customHeight="1" s="19">
      <c r="M617" s="18" t="n"/>
    </row>
    <row r="618" ht="15.75" customHeight="1" s="19">
      <c r="M618" s="18" t="n"/>
    </row>
    <row r="619" ht="15.75" customHeight="1" s="19">
      <c r="M619" s="18" t="n"/>
    </row>
    <row r="620" ht="15.75" customHeight="1" s="19">
      <c r="M620" s="18" t="n"/>
    </row>
    <row r="621" ht="15.75" customHeight="1" s="19">
      <c r="M621" s="18" t="n"/>
    </row>
    <row r="622" ht="15.75" customHeight="1" s="19">
      <c r="M622" s="18" t="n"/>
    </row>
    <row r="623" ht="15.75" customHeight="1" s="19">
      <c r="M623" s="18" t="n"/>
    </row>
    <row r="624" ht="15.75" customHeight="1" s="19">
      <c r="M624" s="18" t="n"/>
    </row>
    <row r="625" ht="15.75" customHeight="1" s="19">
      <c r="M625" s="18" t="n"/>
    </row>
    <row r="626" ht="15.75" customHeight="1" s="19">
      <c r="M626" s="18" t="n"/>
    </row>
    <row r="627" ht="15.75" customHeight="1" s="19">
      <c r="M627" s="18" t="n"/>
    </row>
    <row r="628" ht="15.75" customHeight="1" s="19">
      <c r="M628" s="18" t="n"/>
    </row>
    <row r="629" ht="15.75" customHeight="1" s="19">
      <c r="M629" s="18" t="n"/>
    </row>
    <row r="630" ht="15.75" customHeight="1" s="19">
      <c r="M630" s="18" t="n"/>
    </row>
    <row r="631" ht="15.75" customHeight="1" s="19">
      <c r="M631" s="18" t="n"/>
    </row>
    <row r="632" ht="15.75" customHeight="1" s="19">
      <c r="M632" s="18" t="n"/>
    </row>
    <row r="633" ht="15.75" customHeight="1" s="19">
      <c r="M633" s="18" t="n"/>
    </row>
    <row r="634" ht="15.75" customHeight="1" s="19">
      <c r="M634" s="18" t="n"/>
    </row>
    <row r="635" ht="15.75" customHeight="1" s="19">
      <c r="M635" s="18" t="n"/>
    </row>
    <row r="636" ht="15.75" customHeight="1" s="19">
      <c r="M636" s="18" t="n"/>
    </row>
    <row r="637" ht="15.75" customHeight="1" s="19">
      <c r="M637" s="18" t="n"/>
    </row>
    <row r="638" ht="15.75" customHeight="1" s="19">
      <c r="M638" s="18" t="n"/>
    </row>
    <row r="639" ht="15.75" customHeight="1" s="19">
      <c r="M639" s="18" t="n"/>
    </row>
    <row r="640" ht="15.75" customHeight="1" s="19">
      <c r="M640" s="18" t="n"/>
    </row>
    <row r="641" ht="15.75" customHeight="1" s="19">
      <c r="M641" s="18" t="n"/>
    </row>
    <row r="642" ht="15.75" customHeight="1" s="19">
      <c r="M642" s="18" t="n"/>
    </row>
    <row r="643" ht="15.75" customHeight="1" s="19">
      <c r="M643" s="18" t="n"/>
    </row>
    <row r="644" ht="15.75" customHeight="1" s="19">
      <c r="M644" s="18" t="n"/>
    </row>
    <row r="645" ht="15.75" customHeight="1" s="19">
      <c r="M645" s="18" t="n"/>
    </row>
    <row r="646" ht="15.75" customHeight="1" s="19">
      <c r="M646" s="18" t="n"/>
    </row>
    <row r="647" ht="15.75" customHeight="1" s="19">
      <c r="M647" s="18" t="n"/>
    </row>
    <row r="648" ht="15.75" customHeight="1" s="19">
      <c r="M648" s="18" t="n"/>
    </row>
    <row r="649" ht="15.75" customHeight="1" s="19">
      <c r="M649" s="18" t="n"/>
    </row>
    <row r="650" ht="15.75" customHeight="1" s="19">
      <c r="M650" s="18" t="n"/>
    </row>
    <row r="651" ht="15.75" customHeight="1" s="19">
      <c r="M651" s="18" t="n"/>
    </row>
    <row r="652" ht="15.75" customHeight="1" s="19">
      <c r="M652" s="18" t="n"/>
    </row>
    <row r="653" ht="15.75" customHeight="1" s="19">
      <c r="M653" s="18" t="n"/>
    </row>
    <row r="654" ht="15.75" customHeight="1" s="19">
      <c r="M654" s="18" t="n"/>
    </row>
    <row r="655" ht="15.75" customHeight="1" s="19">
      <c r="M655" s="18" t="n"/>
    </row>
    <row r="656" ht="15.75" customHeight="1" s="19">
      <c r="M656" s="18" t="n"/>
    </row>
    <row r="657" ht="15.75" customHeight="1" s="19">
      <c r="M657" s="18" t="n"/>
    </row>
    <row r="658" ht="15.75" customHeight="1" s="19">
      <c r="M658" s="18" t="n"/>
    </row>
    <row r="659" ht="15.75" customHeight="1" s="19">
      <c r="M659" s="18" t="n"/>
    </row>
    <row r="660" ht="15.75" customHeight="1" s="19">
      <c r="M660" s="18" t="n"/>
    </row>
    <row r="661" ht="15.75" customHeight="1" s="19">
      <c r="M661" s="18" t="n"/>
    </row>
    <row r="662" ht="15.75" customHeight="1" s="19">
      <c r="M662" s="18" t="n"/>
    </row>
    <row r="663" ht="15.75" customHeight="1" s="19">
      <c r="M663" s="18" t="n"/>
    </row>
    <row r="664" ht="15.75" customHeight="1" s="19">
      <c r="M664" s="18" t="n"/>
    </row>
    <row r="665" ht="15.75" customHeight="1" s="19">
      <c r="M665" s="18" t="n"/>
    </row>
    <row r="666" ht="15.75" customHeight="1" s="19">
      <c r="M666" s="18" t="n"/>
    </row>
    <row r="667" ht="15.75" customHeight="1" s="19">
      <c r="M667" s="18" t="n"/>
    </row>
    <row r="668" ht="15.75" customHeight="1" s="19">
      <c r="M668" s="18" t="n"/>
    </row>
    <row r="669" ht="15.75" customHeight="1" s="19">
      <c r="M669" s="18" t="n"/>
    </row>
    <row r="670" ht="15.75" customHeight="1" s="19">
      <c r="M670" s="18" t="n"/>
    </row>
    <row r="671" ht="15.75" customHeight="1" s="19">
      <c r="M671" s="18" t="n"/>
    </row>
    <row r="672" ht="15.75" customHeight="1" s="19">
      <c r="M672" s="18" t="n"/>
    </row>
    <row r="673" ht="15.75" customHeight="1" s="19">
      <c r="M673" s="18" t="n"/>
    </row>
    <row r="674" ht="15.75" customHeight="1" s="19">
      <c r="M674" s="18" t="n"/>
    </row>
    <row r="675" ht="15.75" customHeight="1" s="19">
      <c r="M675" s="18" t="n"/>
    </row>
    <row r="676" ht="15.75" customHeight="1" s="19">
      <c r="M676" s="18" t="n"/>
    </row>
    <row r="677" ht="15.75" customHeight="1" s="19">
      <c r="M677" s="18" t="n"/>
    </row>
    <row r="678" ht="15.75" customHeight="1" s="19">
      <c r="M678" s="18" t="n"/>
    </row>
    <row r="679" ht="15.75" customHeight="1" s="19">
      <c r="M679" s="18" t="n"/>
    </row>
    <row r="680" ht="15.75" customHeight="1" s="19">
      <c r="M680" s="18" t="n"/>
    </row>
    <row r="681" ht="15.75" customHeight="1" s="19">
      <c r="M681" s="18" t="n"/>
    </row>
    <row r="682" ht="15.75" customHeight="1" s="19">
      <c r="M682" s="18" t="n"/>
    </row>
    <row r="683" ht="15.75" customHeight="1" s="19">
      <c r="M683" s="18" t="n"/>
    </row>
    <row r="684" ht="15.75" customHeight="1" s="19">
      <c r="M684" s="18" t="n"/>
    </row>
    <row r="685" ht="15.75" customHeight="1" s="19">
      <c r="M685" s="18" t="n"/>
    </row>
    <row r="686" ht="15.75" customHeight="1" s="19">
      <c r="M686" s="18" t="n"/>
    </row>
    <row r="687" ht="15.75" customHeight="1" s="19">
      <c r="M687" s="18" t="n"/>
    </row>
    <row r="688" ht="15.75" customHeight="1" s="19">
      <c r="M688" s="18" t="n"/>
    </row>
    <row r="689" ht="15.75" customHeight="1" s="19">
      <c r="M689" s="18" t="n"/>
    </row>
    <row r="690" ht="15.75" customHeight="1" s="19">
      <c r="M690" s="18" t="n"/>
    </row>
    <row r="691" ht="15.75" customHeight="1" s="19">
      <c r="M691" s="18" t="n"/>
    </row>
    <row r="692" ht="15.75" customHeight="1" s="19">
      <c r="M692" s="18" t="n"/>
    </row>
    <row r="693" ht="15.75" customHeight="1" s="19">
      <c r="M693" s="18" t="n"/>
    </row>
    <row r="694" ht="15.75" customHeight="1" s="19">
      <c r="M694" s="18" t="n"/>
    </row>
    <row r="695" ht="15.75" customHeight="1" s="19">
      <c r="M695" s="18" t="n"/>
    </row>
    <row r="696" ht="15.75" customHeight="1" s="19">
      <c r="M696" s="18" t="n"/>
    </row>
    <row r="697" ht="15.75" customHeight="1" s="19">
      <c r="M697" s="18" t="n"/>
    </row>
    <row r="698" ht="15.75" customHeight="1" s="19">
      <c r="M698" s="18" t="n"/>
    </row>
    <row r="699" ht="15.75" customHeight="1" s="19">
      <c r="M699" s="18" t="n"/>
    </row>
    <row r="700" ht="15.75" customHeight="1" s="19">
      <c r="M700" s="18" t="n"/>
    </row>
    <row r="701" ht="15.75" customHeight="1" s="19">
      <c r="M701" s="18" t="n"/>
    </row>
    <row r="702" ht="15.75" customHeight="1" s="19">
      <c r="M702" s="18" t="n"/>
    </row>
    <row r="703" ht="15.75" customHeight="1" s="19">
      <c r="M703" s="18" t="n"/>
    </row>
    <row r="704" ht="15.75" customHeight="1" s="19">
      <c r="M704" s="18" t="n"/>
    </row>
    <row r="705" ht="15.75" customHeight="1" s="19">
      <c r="M705" s="18" t="n"/>
    </row>
    <row r="706" ht="15.75" customHeight="1" s="19">
      <c r="M706" s="18" t="n"/>
    </row>
    <row r="707" ht="15.75" customHeight="1" s="19">
      <c r="M707" s="18" t="n"/>
    </row>
    <row r="708" ht="15.75" customHeight="1" s="19">
      <c r="M708" s="18" t="n"/>
    </row>
    <row r="709" ht="15.75" customHeight="1" s="19">
      <c r="M709" s="18" t="n"/>
    </row>
    <row r="710" ht="15.75" customHeight="1" s="19">
      <c r="M710" s="18" t="n"/>
    </row>
    <row r="711" ht="15.75" customHeight="1" s="19">
      <c r="M711" s="18" t="n"/>
    </row>
    <row r="712" ht="15.75" customHeight="1" s="19">
      <c r="M712" s="18" t="n"/>
    </row>
    <row r="713" ht="15.75" customHeight="1" s="19">
      <c r="M713" s="18" t="n"/>
    </row>
    <row r="714" ht="15.75" customHeight="1" s="19">
      <c r="M714" s="18" t="n"/>
    </row>
    <row r="715" ht="15.75" customHeight="1" s="19">
      <c r="M715" s="18" t="n"/>
    </row>
    <row r="716" ht="15.75" customHeight="1" s="19">
      <c r="M716" s="18" t="n"/>
    </row>
    <row r="717" ht="15.75" customHeight="1" s="19">
      <c r="M717" s="18" t="n"/>
    </row>
    <row r="718" ht="15.75" customHeight="1" s="19">
      <c r="M718" s="18" t="n"/>
    </row>
    <row r="719" ht="15.75" customHeight="1" s="19">
      <c r="M719" s="18" t="n"/>
    </row>
    <row r="720" ht="15.75" customHeight="1" s="19">
      <c r="M720" s="18" t="n"/>
    </row>
    <row r="721" ht="15.75" customHeight="1" s="19">
      <c r="M721" s="18" t="n"/>
    </row>
    <row r="722" ht="15.75" customHeight="1" s="19">
      <c r="M722" s="18" t="n"/>
    </row>
    <row r="723" ht="15.75" customHeight="1" s="19">
      <c r="M723" s="18" t="n"/>
    </row>
    <row r="724" ht="15.75" customHeight="1" s="19">
      <c r="M724" s="18" t="n"/>
    </row>
    <row r="725" ht="15.75" customHeight="1" s="19">
      <c r="M725" s="18" t="n"/>
    </row>
    <row r="726" ht="15.75" customHeight="1" s="19">
      <c r="M726" s="18" t="n"/>
    </row>
    <row r="727" ht="15.75" customHeight="1" s="19">
      <c r="M727" s="18" t="n"/>
    </row>
    <row r="728" ht="15.75" customHeight="1" s="19">
      <c r="M728" s="18" t="n"/>
    </row>
    <row r="729" ht="15.75" customHeight="1" s="19">
      <c r="M729" s="18" t="n"/>
    </row>
    <row r="730" ht="15.75" customHeight="1" s="19">
      <c r="M730" s="18" t="n"/>
    </row>
    <row r="731" ht="15.75" customHeight="1" s="19">
      <c r="M731" s="18" t="n"/>
    </row>
    <row r="732" ht="15.75" customHeight="1" s="19">
      <c r="M732" s="18" t="n"/>
    </row>
    <row r="733" ht="15.75" customHeight="1" s="19">
      <c r="M733" s="18" t="n"/>
    </row>
    <row r="734" ht="15.75" customHeight="1" s="19">
      <c r="M734" s="18" t="n"/>
    </row>
    <row r="735" ht="15.75" customHeight="1" s="19">
      <c r="M735" s="18" t="n"/>
    </row>
    <row r="736" ht="15.75" customHeight="1" s="19">
      <c r="M736" s="18" t="n"/>
    </row>
    <row r="737" ht="15.75" customHeight="1" s="19">
      <c r="M737" s="18" t="n"/>
    </row>
    <row r="738" ht="15.75" customHeight="1" s="19">
      <c r="M738" s="18" t="n"/>
    </row>
    <row r="739" ht="15.75" customHeight="1" s="19">
      <c r="M739" s="18" t="n"/>
    </row>
    <row r="740" ht="15.75" customHeight="1" s="19">
      <c r="M740" s="18" t="n"/>
    </row>
    <row r="741" ht="15.75" customHeight="1" s="19">
      <c r="M741" s="18" t="n"/>
    </row>
    <row r="742" ht="15.75" customHeight="1" s="19">
      <c r="M742" s="18" t="n"/>
    </row>
    <row r="743" ht="15.75" customHeight="1" s="19">
      <c r="M743" s="18" t="n"/>
    </row>
    <row r="744" ht="15.75" customHeight="1" s="19">
      <c r="M744" s="18" t="n"/>
    </row>
    <row r="745" ht="15.75" customHeight="1" s="19">
      <c r="M745" s="18" t="n"/>
    </row>
    <row r="746" ht="15.75" customHeight="1" s="19">
      <c r="M746" s="18" t="n"/>
    </row>
    <row r="747" ht="15.75" customHeight="1" s="19">
      <c r="M747" s="18" t="n"/>
    </row>
    <row r="748" ht="15.75" customHeight="1" s="19">
      <c r="M748" s="18" t="n"/>
    </row>
    <row r="749" ht="15.75" customHeight="1" s="19">
      <c r="M749" s="18" t="n"/>
    </row>
    <row r="750" ht="15.75" customHeight="1" s="19">
      <c r="M750" s="18" t="n"/>
    </row>
    <row r="751" ht="15.75" customHeight="1" s="19">
      <c r="M751" s="18" t="n"/>
    </row>
    <row r="752" ht="15.75" customHeight="1" s="19">
      <c r="M752" s="18" t="n"/>
    </row>
    <row r="753" ht="15.75" customHeight="1" s="19">
      <c r="M753" s="18" t="n"/>
    </row>
    <row r="754" ht="15.75" customHeight="1" s="19">
      <c r="M754" s="18" t="n"/>
    </row>
    <row r="755" ht="15.75" customHeight="1" s="19">
      <c r="M755" s="18" t="n"/>
    </row>
    <row r="756" ht="15.75" customHeight="1" s="19">
      <c r="M756" s="18" t="n"/>
    </row>
    <row r="757" ht="15.75" customHeight="1" s="19">
      <c r="M757" s="18" t="n"/>
    </row>
    <row r="758" ht="15.75" customHeight="1" s="19">
      <c r="M758" s="18" t="n"/>
    </row>
    <row r="759" ht="15.75" customHeight="1" s="19">
      <c r="M759" s="18" t="n"/>
    </row>
    <row r="760" ht="15.75" customHeight="1" s="19">
      <c r="M760" s="18" t="n"/>
    </row>
    <row r="761" ht="15.75" customHeight="1" s="19">
      <c r="M761" s="18" t="n"/>
    </row>
    <row r="762" ht="15.75" customHeight="1" s="19">
      <c r="M762" s="18" t="n"/>
    </row>
    <row r="763" ht="15.75" customHeight="1" s="19">
      <c r="M763" s="18" t="n"/>
    </row>
    <row r="764" ht="15.75" customHeight="1" s="19">
      <c r="M764" s="18" t="n"/>
    </row>
    <row r="765" ht="15.75" customHeight="1" s="19">
      <c r="M765" s="18" t="n"/>
    </row>
    <row r="766" ht="15.75" customHeight="1" s="19">
      <c r="M766" s="18" t="n"/>
    </row>
    <row r="767" ht="15.75" customHeight="1" s="19">
      <c r="M767" s="18" t="n"/>
    </row>
    <row r="768" ht="15.75" customHeight="1" s="19">
      <c r="M768" s="18" t="n"/>
    </row>
    <row r="769" ht="15.75" customHeight="1" s="19">
      <c r="M769" s="18" t="n"/>
    </row>
    <row r="770" ht="15.75" customHeight="1" s="19">
      <c r="M770" s="18" t="n"/>
    </row>
    <row r="771" ht="15.75" customHeight="1" s="19">
      <c r="M771" s="18" t="n"/>
    </row>
    <row r="772" ht="15.75" customHeight="1" s="19">
      <c r="M772" s="18" t="n"/>
    </row>
    <row r="773" ht="15.75" customHeight="1" s="19">
      <c r="M773" s="18" t="n"/>
    </row>
    <row r="774" ht="15.75" customHeight="1" s="19">
      <c r="M774" s="18" t="n"/>
    </row>
    <row r="775" ht="15.75" customHeight="1" s="19">
      <c r="M775" s="18" t="n"/>
    </row>
    <row r="776" ht="15.75" customHeight="1" s="19">
      <c r="M776" s="18" t="n"/>
    </row>
    <row r="777" ht="15.75" customHeight="1" s="19">
      <c r="M777" s="18" t="n"/>
    </row>
    <row r="778" ht="15.75" customHeight="1" s="19">
      <c r="M778" s="18" t="n"/>
    </row>
    <row r="779" ht="15.75" customHeight="1" s="19">
      <c r="M779" s="18" t="n"/>
    </row>
    <row r="780" ht="15.75" customHeight="1" s="19">
      <c r="M780" s="18" t="n"/>
    </row>
    <row r="781" ht="15.75" customHeight="1" s="19">
      <c r="M781" s="18" t="n"/>
    </row>
    <row r="782" ht="15.75" customHeight="1" s="19">
      <c r="M782" s="18" t="n"/>
    </row>
    <row r="783" ht="15.75" customHeight="1" s="19">
      <c r="M783" s="18" t="n"/>
    </row>
    <row r="784" ht="15.75" customHeight="1" s="19">
      <c r="M784" s="18" t="n"/>
    </row>
    <row r="785" ht="15.75" customHeight="1" s="19">
      <c r="M785" s="18" t="n"/>
    </row>
    <row r="786" ht="15.75" customHeight="1" s="19">
      <c r="M786" s="18" t="n"/>
    </row>
    <row r="787" ht="15.75" customHeight="1" s="19">
      <c r="M787" s="18" t="n"/>
    </row>
    <row r="788" ht="15.75" customHeight="1" s="19">
      <c r="M788" s="18" t="n"/>
    </row>
    <row r="789" ht="15.75" customHeight="1" s="19">
      <c r="M789" s="18" t="n"/>
    </row>
    <row r="790" ht="15.75" customHeight="1" s="19">
      <c r="M790" s="18" t="n"/>
    </row>
    <row r="791" ht="15.75" customHeight="1" s="19">
      <c r="M791" s="18" t="n"/>
    </row>
    <row r="792" ht="15.75" customHeight="1" s="19">
      <c r="M792" s="18" t="n"/>
    </row>
    <row r="793" ht="15.75" customHeight="1" s="19">
      <c r="M793" s="18" t="n"/>
    </row>
    <row r="794" ht="15.75" customHeight="1" s="19">
      <c r="M794" s="18" t="n"/>
    </row>
    <row r="795" ht="15.75" customHeight="1" s="19">
      <c r="M795" s="18" t="n"/>
    </row>
    <row r="796" ht="15.75" customHeight="1" s="19">
      <c r="M796" s="18" t="n"/>
    </row>
    <row r="797" ht="15.75" customHeight="1" s="19">
      <c r="M797" s="18" t="n"/>
    </row>
    <row r="798" ht="15.75" customHeight="1" s="19">
      <c r="M798" s="18" t="n"/>
    </row>
    <row r="799" ht="15.75" customHeight="1" s="19">
      <c r="M799" s="18" t="n"/>
    </row>
    <row r="800" ht="15.75" customHeight="1" s="19">
      <c r="M800" s="18" t="n"/>
    </row>
    <row r="801" ht="15.75" customHeight="1" s="19">
      <c r="M801" s="18" t="n"/>
    </row>
    <row r="802" ht="15.75" customHeight="1" s="19">
      <c r="M802" s="18" t="n"/>
    </row>
    <row r="803" ht="15.75" customHeight="1" s="19">
      <c r="M803" s="18" t="n"/>
    </row>
    <row r="804" ht="15.75" customHeight="1" s="19">
      <c r="M804" s="18" t="n"/>
    </row>
    <row r="805" ht="15.75" customHeight="1" s="19">
      <c r="M805" s="18" t="n"/>
    </row>
    <row r="806" ht="15.75" customHeight="1" s="19">
      <c r="M806" s="18" t="n"/>
    </row>
    <row r="807" ht="15.75" customHeight="1" s="19">
      <c r="M807" s="18" t="n"/>
    </row>
    <row r="808" ht="15.75" customHeight="1" s="19">
      <c r="M808" s="18" t="n"/>
    </row>
    <row r="809" ht="15.75" customHeight="1" s="19">
      <c r="M809" s="18" t="n"/>
    </row>
    <row r="810" ht="15.75" customHeight="1" s="19">
      <c r="M810" s="18" t="n"/>
    </row>
    <row r="811" ht="15.75" customHeight="1" s="19">
      <c r="M811" s="18" t="n"/>
    </row>
    <row r="812" ht="15.75" customHeight="1" s="19">
      <c r="M812" s="18" t="n"/>
    </row>
    <row r="813" ht="15.75" customHeight="1" s="19">
      <c r="M813" s="18" t="n"/>
    </row>
    <row r="814" ht="15.75" customHeight="1" s="19">
      <c r="M814" s="18" t="n"/>
    </row>
    <row r="815" ht="15.75" customHeight="1" s="19">
      <c r="M815" s="18" t="n"/>
    </row>
    <row r="816" ht="15.75" customHeight="1" s="19">
      <c r="M816" s="18" t="n"/>
    </row>
    <row r="817" ht="15.75" customHeight="1" s="19">
      <c r="M817" s="18" t="n"/>
    </row>
    <row r="818" ht="15.75" customHeight="1" s="19">
      <c r="M818" s="18" t="n"/>
    </row>
    <row r="819" ht="15.75" customHeight="1" s="19">
      <c r="M819" s="18" t="n"/>
    </row>
    <row r="820" ht="15.75" customHeight="1" s="19">
      <c r="M820" s="18" t="n"/>
    </row>
    <row r="821" ht="15.75" customHeight="1" s="19">
      <c r="M821" s="18" t="n"/>
    </row>
    <row r="822" ht="15.75" customHeight="1" s="19">
      <c r="M822" s="18" t="n"/>
    </row>
    <row r="823" ht="15.75" customHeight="1" s="19">
      <c r="M823" s="18" t="n"/>
    </row>
    <row r="824" ht="15.75" customHeight="1" s="19">
      <c r="M824" s="18" t="n"/>
    </row>
    <row r="825" ht="15.75" customHeight="1" s="19">
      <c r="M825" s="18" t="n"/>
    </row>
    <row r="826" ht="15.75" customHeight="1" s="19">
      <c r="M826" s="18" t="n"/>
    </row>
    <row r="827" ht="15.75" customHeight="1" s="19">
      <c r="M827" s="18" t="n"/>
    </row>
    <row r="828" ht="15.75" customHeight="1" s="19">
      <c r="M828" s="18" t="n"/>
    </row>
    <row r="829" ht="15.75" customHeight="1" s="19">
      <c r="M829" s="18" t="n"/>
    </row>
    <row r="830" ht="15.75" customHeight="1" s="19">
      <c r="M830" s="18" t="n"/>
    </row>
    <row r="831" ht="15.75" customHeight="1" s="19">
      <c r="M831" s="18" t="n"/>
    </row>
    <row r="832" ht="15.75" customHeight="1" s="19">
      <c r="M832" s="18" t="n"/>
    </row>
    <row r="833" ht="15.75" customHeight="1" s="19">
      <c r="M833" s="18" t="n"/>
    </row>
    <row r="834" ht="15.75" customHeight="1" s="19">
      <c r="M834" s="18" t="n"/>
    </row>
    <row r="835" ht="15.75" customHeight="1" s="19">
      <c r="M835" s="18" t="n"/>
    </row>
    <row r="836" ht="15.75" customHeight="1" s="19">
      <c r="M836" s="18" t="n"/>
    </row>
    <row r="837" ht="15.75" customHeight="1" s="19">
      <c r="M837" s="18" t="n"/>
    </row>
    <row r="838" ht="15.75" customHeight="1" s="19">
      <c r="M838" s="18" t="n"/>
    </row>
    <row r="839" ht="15.75" customHeight="1" s="19">
      <c r="M839" s="18" t="n"/>
    </row>
    <row r="840" ht="15.75" customHeight="1" s="19">
      <c r="M840" s="18" t="n"/>
    </row>
    <row r="841" ht="15.75" customHeight="1" s="19">
      <c r="M841" s="18" t="n"/>
    </row>
    <row r="842" ht="15.75" customHeight="1" s="19">
      <c r="M842" s="18" t="n"/>
    </row>
    <row r="843" ht="15.75" customHeight="1" s="19">
      <c r="M843" s="18" t="n"/>
    </row>
    <row r="844" ht="15.75" customHeight="1" s="19">
      <c r="M844" s="18" t="n"/>
    </row>
    <row r="845" ht="15.75" customHeight="1" s="19">
      <c r="M845" s="18" t="n"/>
    </row>
    <row r="846" ht="15.75" customHeight="1" s="19">
      <c r="M846" s="18" t="n"/>
    </row>
    <row r="847" ht="15.75" customHeight="1" s="19">
      <c r="M847" s="18" t="n"/>
    </row>
    <row r="848" ht="15.75" customHeight="1" s="19">
      <c r="M848" s="18" t="n"/>
    </row>
    <row r="849" ht="15.75" customHeight="1" s="19">
      <c r="M849" s="18" t="n"/>
    </row>
    <row r="850" ht="15.75" customHeight="1" s="19">
      <c r="M850" s="18" t="n"/>
    </row>
    <row r="851" ht="15.75" customHeight="1" s="19">
      <c r="M851" s="18" t="n"/>
    </row>
    <row r="852" ht="15.75" customHeight="1" s="19">
      <c r="M852" s="18" t="n"/>
    </row>
    <row r="853" ht="15.75" customHeight="1" s="19">
      <c r="M853" s="18" t="n"/>
    </row>
    <row r="854" ht="15.75" customHeight="1" s="19">
      <c r="M854" s="18" t="n"/>
    </row>
    <row r="855" ht="15.75" customHeight="1" s="19">
      <c r="M855" s="18" t="n"/>
    </row>
    <row r="856" ht="15.75" customHeight="1" s="19">
      <c r="M856" s="18" t="n"/>
    </row>
    <row r="857" ht="15.75" customHeight="1" s="19">
      <c r="M857" s="18" t="n"/>
    </row>
    <row r="858" ht="15.75" customHeight="1" s="19">
      <c r="M858" s="18" t="n"/>
    </row>
    <row r="859" ht="15.75" customHeight="1" s="19">
      <c r="M859" s="18" t="n"/>
    </row>
    <row r="860" ht="15.75" customHeight="1" s="19">
      <c r="M860" s="18" t="n"/>
    </row>
    <row r="861" ht="15.75" customHeight="1" s="19">
      <c r="M861" s="18" t="n"/>
    </row>
    <row r="862" ht="15.75" customHeight="1" s="19">
      <c r="M862" s="18" t="n"/>
    </row>
    <row r="863" ht="15.75" customHeight="1" s="19">
      <c r="M863" s="18" t="n"/>
    </row>
    <row r="864" ht="15.75" customHeight="1" s="19">
      <c r="M864" s="18" t="n"/>
    </row>
    <row r="865" ht="15.75" customHeight="1" s="19">
      <c r="M865" s="18" t="n"/>
    </row>
    <row r="866" ht="15.75" customHeight="1" s="19">
      <c r="M866" s="18" t="n"/>
    </row>
    <row r="867" ht="15.75" customHeight="1" s="19">
      <c r="M867" s="18" t="n"/>
    </row>
    <row r="868" ht="15.75" customHeight="1" s="19">
      <c r="M868" s="18" t="n"/>
    </row>
    <row r="869" ht="15.75" customHeight="1" s="19">
      <c r="M869" s="18" t="n"/>
    </row>
    <row r="870" ht="15.75" customHeight="1" s="19">
      <c r="M870" s="18" t="n"/>
    </row>
    <row r="871" ht="15.75" customHeight="1" s="19">
      <c r="M871" s="18" t="n"/>
    </row>
    <row r="872" ht="15.75" customHeight="1" s="19">
      <c r="M872" s="18" t="n"/>
    </row>
    <row r="873" ht="15.75" customHeight="1" s="19">
      <c r="M873" s="18" t="n"/>
    </row>
    <row r="874" ht="15.75" customHeight="1" s="19">
      <c r="M874" s="18" t="n"/>
    </row>
    <row r="875" ht="15.75" customHeight="1" s="19">
      <c r="M875" s="18" t="n"/>
    </row>
    <row r="876" ht="15.75" customHeight="1" s="19">
      <c r="M876" s="18" t="n"/>
    </row>
    <row r="877" ht="15.75" customHeight="1" s="19">
      <c r="M877" s="18" t="n"/>
    </row>
    <row r="878" ht="15.75" customHeight="1" s="19">
      <c r="M878" s="18" t="n"/>
    </row>
    <row r="879" ht="15.75" customHeight="1" s="19">
      <c r="M879" s="18" t="n"/>
    </row>
    <row r="880" ht="15.75" customHeight="1" s="19">
      <c r="M880" s="18" t="n"/>
    </row>
    <row r="881" ht="15.75" customHeight="1" s="19">
      <c r="M881" s="18" t="n"/>
    </row>
    <row r="882" ht="15.75" customHeight="1" s="19">
      <c r="M882" s="18" t="n"/>
    </row>
    <row r="883" ht="15.75" customHeight="1" s="19">
      <c r="M883" s="18" t="n"/>
    </row>
    <row r="884" ht="15.75" customHeight="1" s="19">
      <c r="M884" s="18" t="n"/>
    </row>
    <row r="885" ht="15.75" customHeight="1" s="19">
      <c r="M885" s="18" t="n"/>
    </row>
    <row r="886" ht="15.75" customHeight="1" s="19">
      <c r="M886" s="18" t="n"/>
    </row>
    <row r="887" ht="15.75" customHeight="1" s="19">
      <c r="M887" s="18" t="n"/>
    </row>
    <row r="888" ht="15.75" customHeight="1" s="19">
      <c r="M888" s="18" t="n"/>
    </row>
    <row r="889" ht="15.75" customHeight="1" s="19">
      <c r="M889" s="18" t="n"/>
    </row>
    <row r="890" ht="15.75" customHeight="1" s="19">
      <c r="M890" s="18" t="n"/>
    </row>
    <row r="891" ht="15.75" customHeight="1" s="19">
      <c r="M891" s="18" t="n"/>
    </row>
    <row r="892" ht="15.75" customHeight="1" s="19">
      <c r="M892" s="18" t="n"/>
    </row>
    <row r="893" ht="15.75" customHeight="1" s="19">
      <c r="M893" s="18" t="n"/>
    </row>
    <row r="894" ht="15.75" customHeight="1" s="19">
      <c r="M894" s="18" t="n"/>
    </row>
    <row r="895" ht="15.75" customHeight="1" s="19">
      <c r="M895" s="18" t="n"/>
    </row>
    <row r="896" ht="15.75" customHeight="1" s="19">
      <c r="M896" s="18" t="n"/>
    </row>
    <row r="897" ht="15.75" customHeight="1" s="19">
      <c r="M897" s="18" t="n"/>
    </row>
    <row r="898" ht="15.75" customHeight="1" s="19">
      <c r="M898" s="18" t="n"/>
    </row>
    <row r="899" ht="15.75" customHeight="1" s="19">
      <c r="M899" s="18" t="n"/>
    </row>
    <row r="900" ht="15.75" customHeight="1" s="19">
      <c r="M900" s="18" t="n"/>
    </row>
    <row r="901" ht="15.75" customHeight="1" s="19">
      <c r="M901" s="18" t="n"/>
    </row>
    <row r="902" ht="15.75" customHeight="1" s="19">
      <c r="M902" s="18" t="n"/>
    </row>
    <row r="903" ht="15.75" customHeight="1" s="19">
      <c r="M903" s="18" t="n"/>
    </row>
    <row r="904" ht="15.75" customHeight="1" s="19">
      <c r="M904" s="18" t="n"/>
    </row>
    <row r="905" ht="15.75" customHeight="1" s="19">
      <c r="M905" s="18" t="n"/>
    </row>
    <row r="906" ht="15.75" customHeight="1" s="19">
      <c r="M906" s="18" t="n"/>
    </row>
    <row r="907" ht="15.75" customHeight="1" s="19">
      <c r="M907" s="18" t="n"/>
    </row>
    <row r="908" ht="15.75" customHeight="1" s="19">
      <c r="M908" s="18" t="n"/>
    </row>
    <row r="909" ht="15.75" customHeight="1" s="19">
      <c r="M909" s="18" t="n"/>
    </row>
    <row r="910" ht="15.75" customHeight="1" s="19">
      <c r="M910" s="18" t="n"/>
    </row>
    <row r="911" ht="15.75" customHeight="1" s="19">
      <c r="M911" s="18" t="n"/>
    </row>
    <row r="912" ht="15.75" customHeight="1" s="19">
      <c r="M912" s="18" t="n"/>
    </row>
    <row r="913" ht="15.75" customHeight="1" s="19">
      <c r="M913" s="18" t="n"/>
    </row>
    <row r="914" ht="15.75" customHeight="1" s="19">
      <c r="M914" s="18" t="n"/>
    </row>
    <row r="915" ht="15.75" customHeight="1" s="19">
      <c r="M915" s="18" t="n"/>
    </row>
    <row r="916" ht="15.75" customHeight="1" s="19">
      <c r="M916" s="18" t="n"/>
    </row>
    <row r="917" ht="15.75" customHeight="1" s="19">
      <c r="M917" s="18" t="n"/>
    </row>
    <row r="918" ht="15.75" customHeight="1" s="19">
      <c r="M918" s="18" t="n"/>
    </row>
    <row r="919" ht="15.75" customHeight="1" s="19">
      <c r="M919" s="18" t="n"/>
    </row>
    <row r="920" ht="15.75" customHeight="1" s="19">
      <c r="M920" s="18" t="n"/>
    </row>
    <row r="921" ht="15.75" customHeight="1" s="19">
      <c r="M921" s="18" t="n"/>
    </row>
    <row r="922" ht="15.75" customHeight="1" s="19">
      <c r="M922" s="18" t="n"/>
    </row>
    <row r="923" ht="15.75" customHeight="1" s="19">
      <c r="M923" s="18" t="n"/>
    </row>
    <row r="924" ht="15.75" customHeight="1" s="19">
      <c r="M924" s="18" t="n"/>
    </row>
    <row r="925" ht="15.75" customHeight="1" s="19">
      <c r="M925" s="18" t="n"/>
    </row>
    <row r="926" ht="15.75" customHeight="1" s="19">
      <c r="M926" s="18" t="n"/>
    </row>
    <row r="927" ht="15.75" customHeight="1" s="19">
      <c r="M927" s="18" t="n"/>
    </row>
    <row r="928" ht="15.75" customHeight="1" s="19">
      <c r="M928" s="18" t="n"/>
    </row>
    <row r="929" ht="15.75" customHeight="1" s="19">
      <c r="M929" s="18" t="n"/>
    </row>
    <row r="930" ht="15.75" customHeight="1" s="19">
      <c r="M930" s="18" t="n"/>
    </row>
    <row r="931" ht="15.75" customHeight="1" s="19">
      <c r="M931" s="18" t="n"/>
    </row>
    <row r="932" ht="15.75" customHeight="1" s="19">
      <c r="M932" s="18" t="n"/>
    </row>
    <row r="933" ht="15.75" customHeight="1" s="19">
      <c r="M933" s="18" t="n"/>
    </row>
    <row r="934" ht="15.75" customHeight="1" s="19">
      <c r="M934" s="18" t="n"/>
    </row>
    <row r="935" ht="15.75" customHeight="1" s="19">
      <c r="M935" s="18" t="n"/>
    </row>
    <row r="936" ht="15.75" customHeight="1" s="19">
      <c r="M936" s="18" t="n"/>
    </row>
    <row r="937" ht="15.75" customHeight="1" s="19">
      <c r="M937" s="18" t="n"/>
    </row>
    <row r="938" ht="15.75" customHeight="1" s="19">
      <c r="M938" s="18" t="n"/>
    </row>
    <row r="939" ht="15.75" customHeight="1" s="19">
      <c r="M939" s="18" t="n"/>
    </row>
    <row r="940" ht="15.75" customHeight="1" s="19">
      <c r="M940" s="18" t="n"/>
    </row>
    <row r="941" ht="15.75" customHeight="1" s="19">
      <c r="M941" s="18" t="n"/>
    </row>
    <row r="942" ht="15.75" customHeight="1" s="19">
      <c r="M942" s="18" t="n"/>
    </row>
    <row r="943" ht="15.75" customHeight="1" s="19">
      <c r="M943" s="18" t="n"/>
    </row>
    <row r="944" ht="15.75" customHeight="1" s="19">
      <c r="M944" s="18" t="n"/>
    </row>
    <row r="945" ht="15.75" customHeight="1" s="19">
      <c r="M945" s="18" t="n"/>
    </row>
    <row r="946" ht="15.75" customHeight="1" s="19">
      <c r="M946" s="18" t="n"/>
    </row>
    <row r="947" ht="15.75" customHeight="1" s="19">
      <c r="M947" s="18" t="n"/>
    </row>
    <row r="948" ht="15.75" customHeight="1" s="19">
      <c r="M948" s="18" t="n"/>
    </row>
    <row r="949" ht="15.75" customHeight="1" s="19">
      <c r="M949" s="18" t="n"/>
    </row>
    <row r="950" ht="15.75" customHeight="1" s="19">
      <c r="M950" s="18" t="n"/>
    </row>
    <row r="951" ht="15.75" customHeight="1" s="19">
      <c r="M951" s="18" t="n"/>
    </row>
    <row r="952" ht="15.75" customHeight="1" s="19">
      <c r="M952" s="18" t="n"/>
    </row>
    <row r="953" ht="15.75" customHeight="1" s="19">
      <c r="M953" s="18" t="n"/>
    </row>
    <row r="954" ht="15.75" customHeight="1" s="19">
      <c r="M954" s="18" t="n"/>
    </row>
    <row r="955" ht="15.75" customHeight="1" s="19">
      <c r="M955" s="18" t="n"/>
    </row>
    <row r="956" ht="15.75" customHeight="1" s="19">
      <c r="M956" s="18" t="n"/>
    </row>
    <row r="957" ht="15.75" customHeight="1" s="19">
      <c r="M957" s="18" t="n"/>
    </row>
    <row r="958" ht="15.75" customHeight="1" s="19">
      <c r="M958" s="18" t="n"/>
    </row>
    <row r="959" ht="15.75" customHeight="1" s="19">
      <c r="M959" s="18" t="n"/>
    </row>
    <row r="960" ht="15.75" customHeight="1" s="19">
      <c r="M960" s="18" t="n"/>
    </row>
    <row r="961" ht="15.75" customHeight="1" s="19">
      <c r="M961" s="18" t="n"/>
    </row>
    <row r="962" ht="15.75" customHeight="1" s="19">
      <c r="M962" s="18" t="n"/>
    </row>
    <row r="963" ht="15.75" customHeight="1" s="19">
      <c r="M963" s="18" t="n"/>
    </row>
    <row r="964" ht="15.75" customHeight="1" s="19">
      <c r="M964" s="18" t="n"/>
    </row>
    <row r="965" ht="15.75" customHeight="1" s="19">
      <c r="M965" s="18" t="n"/>
    </row>
    <row r="966" ht="15.75" customHeight="1" s="19">
      <c r="M966" s="18" t="n"/>
    </row>
    <row r="967" ht="15.75" customHeight="1" s="19">
      <c r="M967" s="18" t="n"/>
    </row>
    <row r="968" ht="15.75" customHeight="1" s="19">
      <c r="M968" s="18" t="n"/>
    </row>
    <row r="969" ht="15.75" customHeight="1" s="19">
      <c r="M969" s="18" t="n"/>
    </row>
    <row r="970" ht="15.75" customHeight="1" s="19">
      <c r="M970" s="18" t="n"/>
    </row>
    <row r="971" ht="15.75" customHeight="1" s="19">
      <c r="M971" s="18" t="n"/>
    </row>
    <row r="972" ht="15.75" customHeight="1" s="19">
      <c r="M972" s="18" t="n"/>
    </row>
    <row r="973" ht="15.75" customHeight="1" s="19">
      <c r="M973" s="18" t="n"/>
    </row>
    <row r="974" ht="15.75" customHeight="1" s="19">
      <c r="M974" s="18" t="n"/>
    </row>
    <row r="975" ht="15.75" customHeight="1" s="19">
      <c r="M975" s="18" t="n"/>
    </row>
    <row r="976" ht="15.75" customHeight="1" s="19">
      <c r="M976" s="18" t="n"/>
    </row>
    <row r="977" ht="15.75" customHeight="1" s="19">
      <c r="M977" s="18" t="n"/>
    </row>
    <row r="978" ht="15.75" customHeight="1" s="19">
      <c r="M978" s="18" t="n"/>
    </row>
    <row r="979" ht="15.75" customHeight="1" s="19">
      <c r="M979" s="18" t="n"/>
    </row>
    <row r="980" ht="15.75" customHeight="1" s="19">
      <c r="M980" s="18" t="n"/>
    </row>
    <row r="981" ht="15.75" customHeight="1" s="19">
      <c r="M981" s="18" t="n"/>
    </row>
    <row r="982" ht="15.75" customHeight="1" s="19">
      <c r="M982" s="18" t="n"/>
    </row>
    <row r="983" ht="15.75" customHeight="1" s="19">
      <c r="M983" s="18" t="n"/>
    </row>
    <row r="984" ht="15.75" customHeight="1" s="19">
      <c r="M984" s="18" t="n"/>
    </row>
    <row r="985" ht="15.75" customHeight="1" s="19">
      <c r="M985" s="18" t="n"/>
    </row>
    <row r="986" ht="15.75" customHeight="1" s="19">
      <c r="M986" s="18" t="n"/>
    </row>
    <row r="987" ht="15.75" customHeight="1" s="19">
      <c r="M987" s="18" t="n"/>
    </row>
    <row r="988" ht="15.75" customHeight="1" s="19">
      <c r="M988" s="18" t="n"/>
    </row>
    <row r="989" ht="15.75" customHeight="1" s="19">
      <c r="M989" s="18" t="n"/>
    </row>
    <row r="990" ht="15.75" customHeight="1" s="19">
      <c r="M990" s="18" t="n"/>
    </row>
    <row r="991" ht="15.75" customHeight="1" s="19">
      <c r="M991" s="18" t="n"/>
    </row>
    <row r="992" ht="15.75" customHeight="1" s="19">
      <c r="M992" s="18" t="n"/>
    </row>
    <row r="993" ht="15.75" customHeight="1" s="19">
      <c r="M993" s="18" t="n"/>
    </row>
    <row r="994" ht="15.75" customHeight="1" s="19">
      <c r="M994" s="18" t="n"/>
    </row>
    <row r="995" ht="15.75" customHeight="1" s="19">
      <c r="M995" s="18" t="n"/>
    </row>
    <row r="996" ht="15.75" customHeight="1" s="19">
      <c r="M996" s="18" t="n"/>
    </row>
    <row r="997" ht="15.75" customHeight="1" s="19">
      <c r="M997" s="18" t="n"/>
    </row>
    <row r="998" ht="15.75" customHeight="1" s="19">
      <c r="M998" s="18" t="n"/>
    </row>
    <row r="999" ht="15.75" customHeight="1" s="19">
      <c r="M999" s="18" t="n"/>
    </row>
    <row r="1000" ht="15.75" customHeight="1" s="19">
      <c r="M1000" s="18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19" min="1" max="1"/>
    <col width="38" customWidth="1" style="19" min="2" max="2"/>
    <col width="25" customWidth="1" style="19" min="3" max="3"/>
    <col width="8.710000000000001" customWidth="1" style="19" min="4" max="6"/>
  </cols>
  <sheetData>
    <row r="1">
      <c r="A1" s="1" t="inlineStr">
        <is>
          <t>Step</t>
        </is>
      </c>
      <c r="B1" s="1" t="inlineStr">
        <is>
          <t>Task</t>
        </is>
      </c>
      <c r="C1" s="1" t="inlineStr">
        <is>
          <t>Skills</t>
        </is>
      </c>
    </row>
    <row r="2">
      <c r="A2" s="2" t="n">
        <v>1</v>
      </c>
      <c r="B2" s="2" t="inlineStr">
        <is>
          <t>Check for duplicates, blanks and incorrect values.</t>
        </is>
      </c>
      <c r="C2" s="2" t="inlineStr">
        <is>
          <t>Data cleaning</t>
        </is>
      </c>
    </row>
    <row r="3">
      <c r="A3" s="2" t="n">
        <v>2</v>
      </c>
      <c r="B3" s="2" t="inlineStr">
        <is>
          <t>Add a Profit Margin column: Profit ÷ Revenue.</t>
        </is>
      </c>
      <c r="C3" s="2" t="inlineStr">
        <is>
          <t>Formulas</t>
        </is>
      </c>
    </row>
    <row r="4">
      <c r="A4" s="2" t="n">
        <v>3</v>
      </c>
      <c r="B4" s="2" t="inlineStr">
        <is>
          <t>Calculate total Revenue, total Profit and total Quantity Sold.</t>
        </is>
      </c>
      <c r="C4" s="2" t="inlineStr">
        <is>
          <t>KPI calculations</t>
        </is>
      </c>
    </row>
    <row r="5">
      <c r="A5" s="2" t="n">
        <v>4</v>
      </c>
      <c r="B5" s="2" t="inlineStr">
        <is>
          <t>Find the best-selling Product by Quantity Sold.</t>
        </is>
      </c>
      <c r="C5" s="2" t="inlineStr">
        <is>
          <t>Sorting and filtering</t>
        </is>
      </c>
    </row>
    <row r="6">
      <c r="A6" s="2" t="n">
        <v>5</v>
      </c>
      <c r="B6" s="2" t="inlineStr">
        <is>
          <t>Find the highest-revenue Region.</t>
        </is>
      </c>
      <c r="C6" s="2" t="inlineStr">
        <is>
          <t>Regional analysis</t>
        </is>
      </c>
    </row>
    <row r="7">
      <c r="A7" s="2" t="n">
        <v>6</v>
      </c>
      <c r="B7" s="2" t="inlineStr">
        <is>
          <t>Find the Salesperson with the highest Profit.</t>
        </is>
      </c>
      <c r="C7" s="2" t="inlineStr">
        <is>
          <t>Sales analysis</t>
        </is>
      </c>
    </row>
    <row r="8">
      <c r="A8" s="2" t="n">
        <v>7</v>
      </c>
      <c r="B8" s="2" t="inlineStr">
        <is>
          <t>Create PivotTables for Revenue by Region and by Product.</t>
        </is>
      </c>
      <c r="C8" s="2" t="inlineStr">
        <is>
          <t>PivotTables</t>
        </is>
      </c>
    </row>
    <row r="9">
      <c r="A9" s="2" t="n">
        <v>8</v>
      </c>
      <c r="B9" s="2" t="inlineStr">
        <is>
          <t>Create a dashboard with KPI figures and at least 3 charts.</t>
        </is>
      </c>
      <c r="C9" s="2" t="inlineStr">
        <is>
          <t>Charts and storytelling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23" customWidth="1" style="19" min="1" max="1"/>
    <col width="17.43" customWidth="1" style="19" min="2" max="2"/>
    <col width="8.710000000000001" customWidth="1" style="19" min="3" max="3"/>
    <col width="12.57" customWidth="1" style="19" min="4" max="4"/>
    <col width="13.86" customWidth="1" style="19" min="5" max="5"/>
    <col width="12.86" customWidth="1" style="19" min="6" max="6"/>
    <col width="16.86" customWidth="1" style="19" min="7" max="7"/>
    <col width="11.29" customWidth="1" style="19" min="8" max="8"/>
    <col width="15.86" customWidth="1" style="19" min="9" max="9"/>
  </cols>
  <sheetData>
    <row r="1">
      <c r="A1" s="8" t="inlineStr">
        <is>
          <t xml:space="preserve">SALES PERFORMANCE DASHBOARD </t>
        </is>
      </c>
    </row>
    <row r="3">
      <c r="A3" s="9" t="inlineStr">
        <is>
          <t>Metric</t>
        </is>
      </c>
      <c r="B3" s="9" t="inlineStr">
        <is>
          <t xml:space="preserve">Value </t>
        </is>
      </c>
      <c r="D3" s="10" t="inlineStr">
        <is>
          <t>Product</t>
        </is>
      </c>
      <c r="E3" s="10" t="inlineStr">
        <is>
          <t>Quantity Sold</t>
        </is>
      </c>
      <c r="F3" s="10" t="inlineStr">
        <is>
          <t>Region</t>
        </is>
      </c>
      <c r="G3" s="10" t="inlineStr">
        <is>
          <t xml:space="preserve">Revenue </t>
        </is>
      </c>
      <c r="H3" s="10" t="inlineStr">
        <is>
          <t xml:space="preserve">Salesperson </t>
        </is>
      </c>
      <c r="I3" s="11" t="inlineStr">
        <is>
          <t>Total Profit</t>
        </is>
      </c>
    </row>
    <row r="4">
      <c r="A4" s="2" t="inlineStr">
        <is>
          <t>Total Revenue</t>
        </is>
      </c>
      <c r="B4" s="12">
        <f>SUM('Raw Data'!$J$2:$J$121)</f>
        <v/>
      </c>
      <c r="D4" s="2" t="inlineStr">
        <is>
          <t>Keyboard</t>
        </is>
      </c>
      <c r="E4" s="2">
        <f>SUMIF('Raw Data'!$C$2:$C$121,D4,'Raw Data'!$G$2:$G$121)</f>
        <v/>
      </c>
      <c r="F4" s="2" t="inlineStr">
        <is>
          <t>Lagos</t>
        </is>
      </c>
      <c r="G4" s="13">
        <f>SUMIF('Raw Data'!$E$2:$E$121,F4,'Raw Data'!$J$2:$J$121)</f>
        <v/>
      </c>
      <c r="H4" s="2" t="inlineStr">
        <is>
          <t>Aisha</t>
        </is>
      </c>
      <c r="I4" s="2">
        <f>SUMIF('Raw Data'!$F$2:$F$121,H4,'Raw Data'!$L$2:$L$121)</f>
        <v/>
      </c>
    </row>
    <row r="5">
      <c r="A5" s="2" t="inlineStr">
        <is>
          <t>Total Profit</t>
        </is>
      </c>
      <c r="B5" s="12">
        <f>SUM('Raw Data'!$L$2:$L$121)</f>
        <v/>
      </c>
      <c r="D5" s="2" t="inlineStr">
        <is>
          <t>Headset</t>
        </is>
      </c>
      <c r="E5" s="2">
        <f>SUMIF('Raw Data'!$C$2:$C$121,D5,'Raw Data'!$G$2:$G$121)</f>
        <v/>
      </c>
      <c r="F5" s="2" t="inlineStr">
        <is>
          <t>Abuja</t>
        </is>
      </c>
      <c r="G5" s="13">
        <f>SUMIF('Raw Data'!$E$2:$E$121,F5,'Raw Data'!$J$2:$J$121)</f>
        <v/>
      </c>
      <c r="H5" s="2" t="inlineStr">
        <is>
          <t>David</t>
        </is>
      </c>
      <c r="I5" s="2">
        <f>SUMIF('Raw Data'!$F$2:$F$121,H5,'Raw Data'!$L$2:$L$121)</f>
        <v/>
      </c>
    </row>
    <row r="6">
      <c r="A6" s="2" t="inlineStr">
        <is>
          <t>Total Quantity</t>
        </is>
      </c>
      <c r="B6" s="14">
        <f>SUM('Raw Data'!$G$2:$G$121)</f>
        <v/>
      </c>
      <c r="D6" s="2" t="inlineStr">
        <is>
          <t>Printer</t>
        </is>
      </c>
      <c r="E6" s="2">
        <f>SUMIF('Raw Data'!$C$2:$C$121,D6,'Raw Data'!$G$2:$G$121)</f>
        <v/>
      </c>
      <c r="F6" s="2" t="inlineStr">
        <is>
          <t>Port Harcourt</t>
        </is>
      </c>
      <c r="G6" s="13">
        <f>SUMIF('Raw Data'!$E$2:$E$121,F6,'Raw Data'!$J$2:$J$121)</f>
        <v/>
      </c>
      <c r="H6" s="2" t="inlineStr">
        <is>
          <t>Grace</t>
        </is>
      </c>
      <c r="I6" s="2">
        <f>SUMIF('Raw Data'!$F$2:$F$121,H6,'Raw Data'!$L$2:$L$121)</f>
        <v/>
      </c>
    </row>
    <row r="7">
      <c r="A7" s="2" t="inlineStr">
        <is>
          <t>Average Order Value</t>
        </is>
      </c>
      <c r="B7" s="15">
        <f>B4/COUNTA('Raw Data'!$A$2:$A$121)</f>
        <v/>
      </c>
      <c r="D7" s="2" t="inlineStr">
        <is>
          <t>Monitor</t>
        </is>
      </c>
      <c r="E7" s="2">
        <f>SUMIF('Raw Data'!$C$2:$C$121,D7,'Raw Data'!$G$2:$G$121)</f>
        <v/>
      </c>
      <c r="F7" s="2" t="inlineStr">
        <is>
          <t>Ibadan</t>
        </is>
      </c>
      <c r="G7" s="13">
        <f>SUMIF('Raw Data'!$E$2:$E$121,F7,'Raw Data'!$J$2:$J$121)</f>
        <v/>
      </c>
      <c r="H7" s="2" t="inlineStr">
        <is>
          <t>Michael</t>
        </is>
      </c>
      <c r="I7" s="2">
        <f>SUMIF('Raw Data'!$F$2:$F$121,H7,'Raw Data'!$L$2:$L$121)</f>
        <v/>
      </c>
    </row>
    <row r="8">
      <c r="A8" s="2" t="inlineStr">
        <is>
          <t>Overall Profit Margin</t>
        </is>
      </c>
      <c r="B8" s="16">
        <f>B5/B4</f>
        <v/>
      </c>
      <c r="D8" s="2" t="inlineStr">
        <is>
          <t>Office Chair</t>
        </is>
      </c>
      <c r="E8" s="2">
        <f>SUMIF('Raw Data'!$C$2:$C$121,D8,'Raw Data'!$G$2:$G$121)</f>
        <v/>
      </c>
      <c r="F8" s="2" t="inlineStr">
        <is>
          <t>Kano</t>
        </is>
      </c>
      <c r="G8" s="13">
        <f>SUMIF('Raw Data'!$E$2:$E$121,F8,'Raw Data'!$J$2:$J$121)</f>
        <v/>
      </c>
      <c r="H8" s="0" t="inlineStr">
        <is>
          <t>Tunde</t>
        </is>
      </c>
      <c r="I8" s="0">
        <f>SUMIF('Raw Data'!$F$2:$F$121,H8,'Raw Data'!$L$2:$L$121)</f>
        <v/>
      </c>
    </row>
    <row r="9">
      <c r="D9" s="2" t="inlineStr">
        <is>
          <t>Laptop</t>
        </is>
      </c>
      <c r="E9" s="2">
        <f>SUMIF('Raw Data'!$C$2:$C$121,D9,'Raw Data'!$G$2:$G$121)</f>
        <v/>
      </c>
    </row>
    <row r="10">
      <c r="A10" s="17" t="inlineStr">
        <is>
          <t>KEY INSIGHTS</t>
        </is>
      </c>
    </row>
    <row r="11">
      <c r="A11" s="14" t="inlineStr">
        <is>
          <t>Best-Selling Product: Keyboard — 145 units</t>
        </is>
      </c>
      <c r="B11" s="14" t="n"/>
      <c r="C11" s="14" t="n"/>
    </row>
    <row r="12">
      <c r="A12" s="14" t="inlineStr">
        <is>
          <t>Highest-Revenue Region: Lagos — ₦39,725,775</t>
        </is>
      </c>
      <c r="B12" s="14" t="n"/>
      <c r="C12" s="14" t="n"/>
      <c r="D12" s="2" t="n"/>
      <c r="E12" s="2" t="n"/>
    </row>
    <row r="13">
      <c r="A13" s="14" t="inlineStr">
        <is>
          <t>Top Salesperson by Profit: Grace — ₦6,298,335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1">
    <mergeCell ref="A1:F1"/>
  </mergeCells>
  <pageMargins left="0.25" right="0.25" top="0.35" bottom="0.35" header="0" footer="0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2026-09-04T19:41:11Z</dcterms:created>
  <dcterms:modified xmlns:dcterms="http://purl.org/dc/terms/" xmlns:xsi="http://www.w3.org/2001/XMLSchema-instance" xsi:type="dcterms:W3CDTF">2026-09-04T19:43:15Z</dcterms:modified>
</cp:coreProperties>
</file>